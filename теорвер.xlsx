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ртём\Desktop\"/>
    </mc:Choice>
  </mc:AlternateContent>
  <xr:revisionPtr revIDLastSave="0" documentId="13_ncr:1_{B8BA535F-EED8-4A30-9C75-15E86002E8E4}" xr6:coauthVersionLast="47" xr6:coauthVersionMax="47" xr10:uidLastSave="{00000000-0000-0000-0000-000000000000}"/>
  <bookViews>
    <workbookView xWindow="-108" yWindow="-108" windowWidth="23256" windowHeight="12456" activeTab="2" xr2:uid="{F2A67230-CEB5-4C1B-8617-FFEC9D16DA49}"/>
  </bookViews>
  <sheets>
    <sheet name="Лист1" sheetId="1" r:id="rId1"/>
    <sheet name="Лист4" sheetId="4" r:id="rId2"/>
    <sheet name="Лист3" sheetId="3" r:id="rId3"/>
    <sheet name="Лист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3" l="1"/>
  <c r="E21" i="3"/>
  <c r="D22" i="3" s="1"/>
  <c r="E22" i="3" s="1"/>
  <c r="D23" i="3" s="1"/>
  <c r="E23" i="3" s="1"/>
  <c r="D24" i="3" s="1"/>
  <c r="E24" i="3" s="1"/>
  <c r="E20" i="3"/>
  <c r="D20" i="3"/>
  <c r="E19" i="3"/>
  <c r="D19" i="3"/>
  <c r="J15" i="3"/>
  <c r="J14" i="3"/>
  <c r="J12" i="3"/>
  <c r="J11" i="3"/>
  <c r="D57" i="4"/>
  <c r="E54" i="4"/>
  <c r="F54" i="4"/>
  <c r="G5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B2" i="1"/>
  <c r="C2" i="4"/>
  <c r="B57" i="4"/>
  <c r="A57" i="4"/>
  <c r="B54" i="4"/>
  <c r="A54" i="4"/>
  <c r="J2" i="3"/>
  <c r="J3" i="3" s="1"/>
  <c r="J14" i="2"/>
  <c r="J15" i="2" s="1"/>
  <c r="J16" i="2" s="1"/>
  <c r="J17" i="2" s="1"/>
  <c r="J13" i="2"/>
  <c r="J12" i="2"/>
  <c r="F13" i="2"/>
  <c r="F14" i="2"/>
  <c r="F15" i="2"/>
  <c r="F16" i="2"/>
  <c r="F17" i="2"/>
  <c r="F12" i="2"/>
  <c r="I13" i="2"/>
  <c r="I14" i="2"/>
  <c r="I15" i="2"/>
  <c r="I16" i="2"/>
  <c r="I17" i="2"/>
  <c r="I12" i="2"/>
  <c r="H18" i="2"/>
  <c r="H13" i="2"/>
  <c r="H14" i="2"/>
  <c r="H15" i="2"/>
  <c r="H16" i="2"/>
  <c r="H17" i="2"/>
  <c r="H12" i="2"/>
  <c r="G18" i="2"/>
  <c r="E5" i="2"/>
  <c r="E3" i="2"/>
  <c r="E4" i="2" s="1"/>
  <c r="E6" i="2" s="1"/>
  <c r="E7" i="2" s="1"/>
  <c r="F7" i="2" s="1"/>
  <c r="G7" i="2" s="1"/>
  <c r="E2" i="2"/>
  <c r="D14" i="1"/>
  <c r="E14" i="1" s="1"/>
  <c r="D15" i="1" s="1"/>
  <c r="E15" i="1" s="1"/>
  <c r="D16" i="1" s="1"/>
  <c r="E16" i="1" s="1"/>
  <c r="D17" i="1" s="1"/>
  <c r="E17" i="1" s="1"/>
  <c r="E13" i="1"/>
  <c r="D13" i="1"/>
  <c r="E12" i="1"/>
  <c r="D12" i="1"/>
  <c r="G7" i="1"/>
  <c r="F7" i="1"/>
  <c r="E7" i="1"/>
  <c r="E6" i="1"/>
  <c r="E5" i="1"/>
  <c r="E4" i="1"/>
  <c r="E3" i="1"/>
  <c r="E2" i="1"/>
  <c r="A55" i="1"/>
  <c r="A56" i="1" s="1"/>
  <c r="B10" i="3" l="1"/>
  <c r="B18" i="3"/>
  <c r="B26" i="3"/>
  <c r="B42" i="3"/>
  <c r="B19" i="3"/>
  <c r="B35" i="3"/>
  <c r="B51" i="3"/>
  <c r="B3" i="3"/>
  <c r="B4" i="3"/>
  <c r="B12" i="3"/>
  <c r="B20" i="3"/>
  <c r="B28" i="3"/>
  <c r="B36" i="3"/>
  <c r="B44" i="3"/>
  <c r="B2" i="3"/>
  <c r="B5" i="3"/>
  <c r="B13" i="3"/>
  <c r="B21" i="3"/>
  <c r="B29" i="3"/>
  <c r="B37" i="3"/>
  <c r="B45" i="3"/>
  <c r="B6" i="3"/>
  <c r="B14" i="3"/>
  <c r="B22" i="3"/>
  <c r="B30" i="3"/>
  <c r="B38" i="3"/>
  <c r="B46" i="3"/>
  <c r="B7" i="3"/>
  <c r="B15" i="3"/>
  <c r="B23" i="3"/>
  <c r="B31" i="3"/>
  <c r="B39" i="3"/>
  <c r="B47" i="3"/>
  <c r="B8" i="3"/>
  <c r="B16" i="3"/>
  <c r="B24" i="3"/>
  <c r="B32" i="3"/>
  <c r="B40" i="3"/>
  <c r="B48" i="3"/>
  <c r="B9" i="3"/>
  <c r="B17" i="3"/>
  <c r="B25" i="3"/>
  <c r="B33" i="3"/>
  <c r="B41" i="3"/>
  <c r="B49" i="3"/>
  <c r="B34" i="3"/>
  <c r="B50" i="3"/>
  <c r="B11" i="3"/>
  <c r="B27" i="3"/>
  <c r="B43" i="3"/>
  <c r="D12" i="2"/>
  <c r="E12" i="2" s="1"/>
  <c r="D13" i="2" s="1"/>
  <c r="E13" i="2" s="1"/>
  <c r="D14" i="2" s="1"/>
  <c r="E14" i="2" s="1"/>
  <c r="D15" i="2" s="1"/>
  <c r="E15" i="2" s="1"/>
  <c r="D16" i="2" s="1"/>
  <c r="E16" i="2" s="1"/>
  <c r="D17" i="2" s="1"/>
  <c r="E17" i="2" s="1"/>
  <c r="B44" i="1"/>
  <c r="B4" i="1"/>
  <c r="B12" i="1"/>
  <c r="B20" i="1"/>
  <c r="B28" i="1"/>
  <c r="B36" i="1"/>
  <c r="B49" i="1"/>
  <c r="B34" i="1"/>
  <c r="B3" i="1"/>
  <c r="B19" i="1"/>
  <c r="B5" i="1"/>
  <c r="B37" i="1"/>
  <c r="B45" i="1"/>
  <c r="B22" i="1"/>
  <c r="B38" i="1"/>
  <c r="B31" i="1"/>
  <c r="B33" i="1"/>
  <c r="B10" i="1"/>
  <c r="B42" i="1"/>
  <c r="B6" i="1"/>
  <c r="B14" i="1"/>
  <c r="B30" i="1"/>
  <c r="B8" i="1"/>
  <c r="B32" i="1"/>
  <c r="B17" i="1"/>
  <c r="B26" i="1"/>
  <c r="B11" i="1"/>
  <c r="B43" i="1"/>
  <c r="B23" i="1"/>
  <c r="B16" i="1"/>
  <c r="B24" i="1"/>
  <c r="B48" i="1"/>
  <c r="B25" i="1"/>
  <c r="B18" i="1"/>
  <c r="B51" i="1"/>
  <c r="B41" i="1"/>
  <c r="B35" i="1"/>
  <c r="J4" i="3" l="1"/>
  <c r="J5" i="3" s="1"/>
  <c r="J6" i="3" s="1"/>
  <c r="B29" i="1"/>
  <c r="B9" i="1"/>
  <c r="B27" i="1"/>
  <c r="B15" i="1"/>
  <c r="B47" i="1"/>
  <c r="B40" i="1"/>
  <c r="B21" i="1"/>
  <c r="B50" i="1"/>
  <c r="B7" i="1"/>
  <c r="B46" i="1"/>
  <c r="B39" i="1"/>
  <c r="B13" i="1"/>
  <c r="B55" i="1" l="1"/>
  <c r="B56" i="1" l="1"/>
  <c r="C55" i="1" s="1"/>
</calcChain>
</file>

<file path=xl/sharedStrings.xml><?xml version="1.0" encoding="utf-8"?>
<sst xmlns="http://schemas.openxmlformats.org/spreadsheetml/2006/main" count="59" uniqueCount="32">
  <si>
    <t>Выборка X</t>
  </si>
  <si>
    <t>Выборка Y</t>
  </si>
  <si>
    <t>Сумма и выборочное среднее</t>
  </si>
  <si>
    <t>xi - xв</t>
  </si>
  <si>
    <t>Cумма и выборочная дисперсия</t>
  </si>
  <si>
    <t>Среднеквадратическое отклонение</t>
  </si>
  <si>
    <t>минимальное значение</t>
  </si>
  <si>
    <t>максимальное значение</t>
  </si>
  <si>
    <t>размах вариации</t>
  </si>
  <si>
    <t>оптимальное кол-во интервалов</t>
  </si>
  <si>
    <t>длина интервала</t>
  </si>
  <si>
    <t>Перебор</t>
  </si>
  <si>
    <t>Интервалы</t>
  </si>
  <si>
    <t>xi</t>
  </si>
  <si>
    <t>ni</t>
  </si>
  <si>
    <t>wi</t>
  </si>
  <si>
    <t>wi/h</t>
  </si>
  <si>
    <t>wn</t>
  </si>
  <si>
    <t>Суммы:</t>
  </si>
  <si>
    <t>сумма</t>
  </si>
  <si>
    <t>среднее</t>
  </si>
  <si>
    <t>xi-xв</t>
  </si>
  <si>
    <t>дисперсия</t>
  </si>
  <si>
    <t>сумма xi-xв</t>
  </si>
  <si>
    <t>среднеквадратическое отклонение</t>
  </si>
  <si>
    <t>Средние значения</t>
  </si>
  <si>
    <t>yi-yв</t>
  </si>
  <si>
    <t>(xi-xв)(yi-yв)</t>
  </si>
  <si>
    <t>xi-xв)^2</t>
  </si>
  <si>
    <t>yi-yв)^2</t>
  </si>
  <si>
    <t>Ковариация X и Y</t>
  </si>
  <si>
    <t>размах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</si>
</sst>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6A5A-74AE-45EC-BBA6-085061807BDD}">
  <dimension ref="A1:K110"/>
  <sheetViews>
    <sheetView workbookViewId="0">
      <selection activeCell="D12" sqref="D12"/>
    </sheetView>
  </sheetViews>
  <sheetFormatPr defaultRowHeight="13.2" x14ac:dyDescent="0.25"/>
  <cols>
    <col min="1" max="1" width="23.109375" style="2" customWidth="1"/>
    <col min="2" max="2" width="18" style="3" customWidth="1"/>
    <col min="3" max="3" width="17.77734375" style="2" customWidth="1"/>
    <col min="4" max="4" width="17" style="2" customWidth="1"/>
    <col min="5" max="5" width="17.33203125" style="2" customWidth="1"/>
    <col min="6" max="6" width="15.44140625" style="2" customWidth="1"/>
    <col min="7" max="10" width="8.88671875" style="2"/>
    <col min="11" max="11" width="26.77734375" style="2" customWidth="1"/>
    <col min="12" max="16384" width="8.88671875" style="2"/>
  </cols>
  <sheetData>
    <row r="1" spans="1:11" x14ac:dyDescent="0.25">
      <c r="A1" s="1" t="s">
        <v>0</v>
      </c>
      <c r="B1" s="1" t="s">
        <v>3</v>
      </c>
      <c r="F1" s="1"/>
      <c r="K1" s="1" t="s">
        <v>1</v>
      </c>
    </row>
    <row r="2" spans="1:11" ht="26.4" x14ac:dyDescent="0.25">
      <c r="A2" s="3">
        <v>1.0218100000000001</v>
      </c>
      <c r="B2" s="3">
        <f>A2-$A$56</f>
        <v>-0.93997217999999916</v>
      </c>
      <c r="D2" s="4" t="s">
        <v>6</v>
      </c>
      <c r="E2" s="5">
        <f>A2</f>
        <v>1.0218100000000001</v>
      </c>
      <c r="F2" s="5"/>
      <c r="K2" s="3">
        <v>5.1363300000000001</v>
      </c>
    </row>
    <row r="3" spans="1:11" ht="26.4" x14ac:dyDescent="0.25">
      <c r="A3" s="3">
        <v>1.18757</v>
      </c>
      <c r="B3" s="3">
        <f t="shared" ref="B3:B51" si="0">POWER(A3-$A$56, 2)</f>
        <v>0.59940449966035125</v>
      </c>
      <c r="D3" s="4" t="s">
        <v>7</v>
      </c>
      <c r="E3" s="5">
        <f>A51</f>
        <v>2.9272100000000001</v>
      </c>
      <c r="F3" s="5"/>
      <c r="K3" s="3">
        <v>6.6862700000000004</v>
      </c>
    </row>
    <row r="4" spans="1:11" x14ac:dyDescent="0.25">
      <c r="A4" s="3">
        <v>1.22424</v>
      </c>
      <c r="B4" s="3">
        <f t="shared" si="0"/>
        <v>0.54396846727915127</v>
      </c>
      <c r="D4" s="4" t="s">
        <v>8</v>
      </c>
      <c r="E4" s="5">
        <f>E3-E2</f>
        <v>1.9054</v>
      </c>
      <c r="F4" s="5"/>
      <c r="K4" s="3">
        <v>0.29131499999999999</v>
      </c>
    </row>
    <row r="5" spans="1:11" ht="39.6" x14ac:dyDescent="0.25">
      <c r="A5" s="3">
        <v>1.23054</v>
      </c>
      <c r="B5" s="3">
        <f t="shared" si="0"/>
        <v>0.53471512581115133</v>
      </c>
      <c r="D5" s="4" t="s">
        <v>9</v>
      </c>
      <c r="E5" s="5">
        <f>1+3.322*LOG(50,10)</f>
        <v>6.6439783544042532</v>
      </c>
      <c r="F5" s="5">
        <v>6</v>
      </c>
      <c r="K5" s="3">
        <v>5.1470700000000003</v>
      </c>
    </row>
    <row r="6" spans="1:11" x14ac:dyDescent="0.25">
      <c r="A6" s="3">
        <v>1.2317800000000001</v>
      </c>
      <c r="B6" s="3">
        <f t="shared" si="0"/>
        <v>0.53290318280475113</v>
      </c>
      <c r="D6" s="4" t="s">
        <v>10</v>
      </c>
      <c r="E6" s="5">
        <f>E4/6</f>
        <v>0.31756666666666666</v>
      </c>
      <c r="F6" s="5">
        <v>0.32</v>
      </c>
      <c r="K6" s="3">
        <v>5.0792099999999998</v>
      </c>
    </row>
    <row r="7" spans="1:11" x14ac:dyDescent="0.25">
      <c r="A7" s="3">
        <v>1.2373099999999999</v>
      </c>
      <c r="B7" s="3">
        <f t="shared" si="0"/>
        <v>0.5248599395939515</v>
      </c>
      <c r="D7" s="5" t="s">
        <v>11</v>
      </c>
      <c r="E7" s="5">
        <f>F6-E6</f>
        <v>2.4333333333333429E-3</v>
      </c>
      <c r="F7" s="5">
        <f>E7*6</f>
        <v>1.4600000000000057E-2</v>
      </c>
      <c r="G7" s="2">
        <f>F7/2</f>
        <v>7.3000000000000287E-3</v>
      </c>
      <c r="K7" s="3">
        <v>0.57628599999999996</v>
      </c>
    </row>
    <row r="8" spans="1:11" x14ac:dyDescent="0.25">
      <c r="A8" s="3">
        <v>1.2444299999999999</v>
      </c>
      <c r="B8" s="3">
        <f t="shared" si="0"/>
        <v>0.51459415015075149</v>
      </c>
      <c r="F8" s="3"/>
      <c r="K8" s="3">
        <v>10.639849999999999</v>
      </c>
    </row>
    <row r="9" spans="1:11" x14ac:dyDescent="0.25">
      <c r="A9" s="3">
        <v>1.26769</v>
      </c>
      <c r="B9" s="3">
        <f t="shared" si="0"/>
        <v>0.48176395433715141</v>
      </c>
      <c r="F9" s="3"/>
      <c r="K9" s="3">
        <v>8.4246800000000004</v>
      </c>
    </row>
    <row r="10" spans="1:11" x14ac:dyDescent="0.25">
      <c r="A10" s="3">
        <v>1.29125</v>
      </c>
      <c r="B10" s="3">
        <f t="shared" si="0"/>
        <v>0.44961340441555142</v>
      </c>
      <c r="F10" s="3"/>
      <c r="K10" s="3">
        <v>2.1817000000000002</v>
      </c>
    </row>
    <row r="11" spans="1:11" x14ac:dyDescent="0.25">
      <c r="A11" s="3">
        <v>1.2929900000000001</v>
      </c>
      <c r="B11" s="3">
        <f t="shared" si="0"/>
        <v>0.44728298002915129</v>
      </c>
      <c r="D11" s="12" t="s">
        <v>12</v>
      </c>
      <c r="E11" s="12"/>
      <c r="F11" s="4" t="s">
        <v>13</v>
      </c>
      <c r="G11" s="4" t="s">
        <v>14</v>
      </c>
      <c r="H11" s="4" t="s">
        <v>15</v>
      </c>
      <c r="I11" s="4" t="s">
        <v>16</v>
      </c>
      <c r="J11" s="4" t="s">
        <v>17</v>
      </c>
      <c r="K11" s="3">
        <v>2.8486600000000002</v>
      </c>
    </row>
    <row r="12" spans="1:11" x14ac:dyDescent="0.25">
      <c r="A12" s="3">
        <v>1.3166599999999999</v>
      </c>
      <c r="B12" s="3">
        <f t="shared" si="0"/>
        <v>0.41618262712795151</v>
      </c>
      <c r="D12" s="5">
        <f>E2-G7</f>
        <v>1.01451</v>
      </c>
      <c r="E12" s="5">
        <f>D12+$F$6</f>
        <v>1.3345100000000001</v>
      </c>
      <c r="F12" s="5"/>
      <c r="G12" s="5"/>
      <c r="H12" s="5"/>
      <c r="I12" s="5"/>
      <c r="J12" s="5"/>
      <c r="K12" s="3">
        <v>2.0169899999999998</v>
      </c>
    </row>
    <row r="13" spans="1:11" x14ac:dyDescent="0.25">
      <c r="A13" s="3">
        <v>1.3441099999999999</v>
      </c>
      <c r="B13" s="3">
        <f t="shared" si="0"/>
        <v>0.38151892194595161</v>
      </c>
      <c r="D13" s="5">
        <f>E12</f>
        <v>1.3345100000000001</v>
      </c>
      <c r="E13" s="5">
        <f>D13+$F$6</f>
        <v>1.6545100000000001</v>
      </c>
      <c r="F13" s="5"/>
      <c r="G13" s="5"/>
      <c r="H13" s="5"/>
      <c r="I13" s="5"/>
      <c r="J13" s="5"/>
      <c r="K13" s="3">
        <v>1.13697</v>
      </c>
    </row>
    <row r="14" spans="1:11" x14ac:dyDescent="0.25">
      <c r="A14" s="3">
        <v>1.3559600000000001</v>
      </c>
      <c r="B14" s="3">
        <f t="shared" si="0"/>
        <v>0.36702051377995143</v>
      </c>
      <c r="D14" s="5">
        <f t="shared" ref="D14:D17" si="1">E13</f>
        <v>1.6545100000000001</v>
      </c>
      <c r="E14" s="5">
        <f t="shared" ref="E14:E17" si="2">D14+$F$6</f>
        <v>1.9745100000000002</v>
      </c>
      <c r="F14" s="5"/>
      <c r="G14" s="5"/>
      <c r="H14" s="5"/>
      <c r="I14" s="5"/>
      <c r="J14" s="5"/>
      <c r="K14" s="3">
        <v>5.2546600000000003</v>
      </c>
    </row>
    <row r="15" spans="1:11" x14ac:dyDescent="0.25">
      <c r="A15" s="3">
        <v>1.35772</v>
      </c>
      <c r="B15" s="3">
        <f t="shared" si="0"/>
        <v>0.36489111730635149</v>
      </c>
      <c r="D15" s="5">
        <f t="shared" si="1"/>
        <v>1.9745100000000002</v>
      </c>
      <c r="E15" s="5">
        <f t="shared" si="2"/>
        <v>2.2945100000000003</v>
      </c>
      <c r="F15" s="5"/>
      <c r="G15" s="5"/>
      <c r="H15" s="5"/>
      <c r="I15" s="5"/>
      <c r="J15" s="5"/>
      <c r="K15" s="3">
        <v>4.67936</v>
      </c>
    </row>
    <row r="16" spans="1:11" x14ac:dyDescent="0.25">
      <c r="A16" s="3">
        <v>1.37456</v>
      </c>
      <c r="B16" s="3">
        <f t="shared" si="0"/>
        <v>0.34482988868395154</v>
      </c>
      <c r="D16" s="5">
        <f t="shared" si="1"/>
        <v>2.2945100000000003</v>
      </c>
      <c r="E16" s="5">
        <f t="shared" si="2"/>
        <v>2.6145100000000001</v>
      </c>
      <c r="F16" s="5"/>
      <c r="G16" s="5"/>
      <c r="H16" s="5"/>
      <c r="I16" s="5"/>
      <c r="J16" s="5"/>
      <c r="K16" s="3">
        <v>5.5770600000000004</v>
      </c>
    </row>
    <row r="17" spans="1:11" x14ac:dyDescent="0.25">
      <c r="A17" s="3">
        <v>1.4418800000000001</v>
      </c>
      <c r="B17" s="3">
        <f t="shared" si="0"/>
        <v>0.27029827676875157</v>
      </c>
      <c r="D17" s="5">
        <f t="shared" si="1"/>
        <v>2.6145100000000001</v>
      </c>
      <c r="E17" s="5">
        <f t="shared" si="2"/>
        <v>2.93451</v>
      </c>
      <c r="F17" s="5"/>
      <c r="G17" s="5"/>
      <c r="H17" s="5"/>
      <c r="I17" s="5"/>
      <c r="J17" s="5"/>
      <c r="K17" s="3">
        <v>7.05016</v>
      </c>
    </row>
    <row r="18" spans="1:11" x14ac:dyDescent="0.25">
      <c r="A18" s="3">
        <v>1.45451</v>
      </c>
      <c r="B18" s="3">
        <f t="shared" si="0"/>
        <v>0.2573250646019517</v>
      </c>
      <c r="D18" s="13" t="s">
        <v>18</v>
      </c>
      <c r="E18" s="14"/>
      <c r="F18" s="5"/>
      <c r="G18" s="5"/>
      <c r="H18" s="5"/>
      <c r="I18" s="5"/>
      <c r="J18" s="5"/>
      <c r="K18" s="3">
        <v>8.7911699999999993</v>
      </c>
    </row>
    <row r="19" spans="1:11" x14ac:dyDescent="0.25">
      <c r="A19" s="3">
        <v>1.5619799999999999</v>
      </c>
      <c r="B19" s="3">
        <f t="shared" si="0"/>
        <v>0.15984178313275188</v>
      </c>
      <c r="F19" s="3"/>
      <c r="K19" s="3">
        <v>10.263999999999999</v>
      </c>
    </row>
    <row r="20" spans="1:11" x14ac:dyDescent="0.25">
      <c r="A20" s="3">
        <v>1.62961</v>
      </c>
      <c r="B20" s="3">
        <f t="shared" si="0"/>
        <v>0.1103383571659519</v>
      </c>
      <c r="F20" s="3"/>
      <c r="K20" s="3">
        <v>1.1330499999999999</v>
      </c>
    </row>
    <row r="21" spans="1:11" x14ac:dyDescent="0.25">
      <c r="A21" s="3">
        <v>1.7806299999999999</v>
      </c>
      <c r="B21" s="3">
        <f t="shared" si="0"/>
        <v>3.2816112318752158E-2</v>
      </c>
      <c r="F21" s="3"/>
      <c r="K21" s="3">
        <v>2.1659299999999999</v>
      </c>
    </row>
    <row r="22" spans="1:11" x14ac:dyDescent="0.25">
      <c r="A22" s="3">
        <v>1.7948599999999999</v>
      </c>
      <c r="B22" s="3">
        <f t="shared" si="0"/>
        <v>2.7863014175952189E-2</v>
      </c>
      <c r="F22" s="3"/>
      <c r="K22" s="3">
        <v>4.09626</v>
      </c>
    </row>
    <row r="23" spans="1:11" x14ac:dyDescent="0.25">
      <c r="A23" s="3">
        <v>1.82836</v>
      </c>
      <c r="B23" s="3">
        <f t="shared" si="0"/>
        <v>1.7801478115952209E-2</v>
      </c>
      <c r="F23" s="3"/>
      <c r="K23" s="3">
        <v>2.3341400000000001</v>
      </c>
    </row>
    <row r="24" spans="1:11" x14ac:dyDescent="0.25">
      <c r="A24" s="3">
        <v>1.8548500000000001</v>
      </c>
      <c r="B24" s="3">
        <f t="shared" si="0"/>
        <v>1.1434491119552219E-2</v>
      </c>
      <c r="F24" s="3"/>
      <c r="K24" s="3">
        <v>9.4604800000000004</v>
      </c>
    </row>
    <row r="25" spans="1:11" x14ac:dyDescent="0.25">
      <c r="A25" s="3">
        <v>1.88008</v>
      </c>
      <c r="B25" s="3">
        <f t="shared" si="0"/>
        <v>6.6752462167522847E-3</v>
      </c>
      <c r="F25" s="3"/>
      <c r="K25" s="3">
        <v>6.3081500000000004</v>
      </c>
    </row>
    <row r="26" spans="1:11" x14ac:dyDescent="0.25">
      <c r="A26" s="3">
        <v>1.9734700000000001</v>
      </c>
      <c r="B26" s="3">
        <f t="shared" si="0"/>
        <v>1.3660513635241852E-4</v>
      </c>
      <c r="F26" s="3"/>
      <c r="K26" s="3">
        <v>4.0541200000000002</v>
      </c>
    </row>
    <row r="27" spans="1:11" x14ac:dyDescent="0.25">
      <c r="A27" s="3">
        <v>2.0126400000000002</v>
      </c>
      <c r="B27" s="3">
        <f t="shared" si="0"/>
        <v>2.5865178551524957E-3</v>
      </c>
      <c r="F27" s="3"/>
      <c r="K27" s="3">
        <v>2.7465700000000002</v>
      </c>
    </row>
    <row r="28" spans="1:11" x14ac:dyDescent="0.25">
      <c r="A28" s="3">
        <v>2.0194589999999999</v>
      </c>
      <c r="B28" s="3">
        <f t="shared" si="0"/>
        <v>3.3266155653124724E-3</v>
      </c>
      <c r="F28" s="3"/>
      <c r="K28" s="3">
        <v>2.3625500000000001</v>
      </c>
    </row>
    <row r="29" spans="1:11" x14ac:dyDescent="0.25">
      <c r="A29" s="3">
        <v>2.03674</v>
      </c>
      <c r="B29" s="3">
        <f t="shared" si="0"/>
        <v>5.6186747791525096E-3</v>
      </c>
      <c r="F29" s="3"/>
      <c r="K29" s="3">
        <v>-1.51603</v>
      </c>
    </row>
    <row r="30" spans="1:11" x14ac:dyDescent="0.25">
      <c r="A30" s="3">
        <v>2.0678200000000002</v>
      </c>
      <c r="B30" s="3">
        <f t="shared" si="0"/>
        <v>1.1244019270352601E-2</v>
      </c>
      <c r="F30" s="3"/>
      <c r="K30" s="3">
        <v>7.6174799999999996</v>
      </c>
    </row>
    <row r="31" spans="1:11" x14ac:dyDescent="0.25">
      <c r="A31" s="3">
        <v>2.0776699999999999</v>
      </c>
      <c r="B31" s="3">
        <f t="shared" si="0"/>
        <v>1.3429986824352548E-2</v>
      </c>
      <c r="F31" s="3"/>
      <c r="K31" s="3">
        <v>0.29575800000000002</v>
      </c>
    </row>
    <row r="32" spans="1:11" x14ac:dyDescent="0.25">
      <c r="A32" s="3">
        <v>2.08955</v>
      </c>
      <c r="B32" s="3">
        <f t="shared" si="0"/>
        <v>1.6324615827552593E-2</v>
      </c>
      <c r="F32" s="3"/>
      <c r="K32" s="3">
        <v>7.3238899999999996</v>
      </c>
    </row>
    <row r="33" spans="1:11" x14ac:dyDescent="0.25">
      <c r="A33" s="3">
        <v>2.1318899999999998</v>
      </c>
      <c r="B33" s="3">
        <f t="shared" si="0"/>
        <v>2.8936670425152595E-2</v>
      </c>
      <c r="F33" s="3"/>
      <c r="K33" s="3">
        <v>2.8535900000000001</v>
      </c>
    </row>
    <row r="34" spans="1:11" x14ac:dyDescent="0.25">
      <c r="A34" s="3">
        <v>2.24743</v>
      </c>
      <c r="B34" s="3">
        <f t="shared" si="0"/>
        <v>8.1594677070752838E-2</v>
      </c>
      <c r="F34" s="3"/>
      <c r="K34" s="3">
        <v>2.7207699999999999</v>
      </c>
    </row>
    <row r="35" spans="1:11" x14ac:dyDescent="0.25">
      <c r="A35" s="3">
        <v>2.2817099999999999</v>
      </c>
      <c r="B35" s="3">
        <f t="shared" si="0"/>
        <v>0.10235381000995281</v>
      </c>
      <c r="F35" s="3"/>
      <c r="K35" s="3">
        <v>6.1454000000000004</v>
      </c>
    </row>
    <row r="36" spans="1:11" x14ac:dyDescent="0.25">
      <c r="A36" s="3">
        <v>2.4147799999999999</v>
      </c>
      <c r="B36" s="3">
        <f t="shared" si="0"/>
        <v>0.20520702492475301</v>
      </c>
      <c r="F36" s="3"/>
      <c r="K36" s="3">
        <v>1.12967</v>
      </c>
    </row>
    <row r="37" spans="1:11" x14ac:dyDescent="0.25">
      <c r="A37" s="3">
        <v>2.4552399999999999</v>
      </c>
      <c r="B37" s="3">
        <f t="shared" si="0"/>
        <v>0.24350062011915299</v>
      </c>
      <c r="F37" s="3"/>
      <c r="K37" s="3">
        <v>0.73295500000000002</v>
      </c>
    </row>
    <row r="38" spans="1:11" x14ac:dyDescent="0.25">
      <c r="A38" s="3">
        <v>2.4561500000000001</v>
      </c>
      <c r="B38" s="3">
        <f t="shared" si="0"/>
        <v>0.24439954145155318</v>
      </c>
      <c r="F38" s="3"/>
      <c r="K38" s="3">
        <v>2.0230700000000001</v>
      </c>
    </row>
    <row r="39" spans="1:11" x14ac:dyDescent="0.25">
      <c r="A39" s="3">
        <v>2.46258</v>
      </c>
      <c r="B39" s="3">
        <f t="shared" si="0"/>
        <v>0.25079845651675314</v>
      </c>
      <c r="F39" s="3"/>
      <c r="K39" s="3">
        <v>4.7182700000000004</v>
      </c>
    </row>
    <row r="40" spans="1:11" x14ac:dyDescent="0.25">
      <c r="A40" s="3">
        <v>2.5245600000000001</v>
      </c>
      <c r="B40" s="3">
        <f t="shared" si="0"/>
        <v>0.31671887468395338</v>
      </c>
      <c r="F40" s="3"/>
      <c r="K40" s="3">
        <v>3.2783500000000001</v>
      </c>
    </row>
    <row r="41" spans="1:11" x14ac:dyDescent="0.25">
      <c r="A41" s="3">
        <v>2.65469</v>
      </c>
      <c r="B41" s="3">
        <f t="shared" si="0"/>
        <v>0.48012124701715342</v>
      </c>
      <c r="F41" s="3"/>
      <c r="K41" s="3">
        <v>7.3078500000000002</v>
      </c>
    </row>
    <row r="42" spans="1:11" x14ac:dyDescent="0.25">
      <c r="A42" s="3">
        <v>2.6832699999999998</v>
      </c>
      <c r="B42" s="3">
        <f t="shared" si="0"/>
        <v>0.52054467440835317</v>
      </c>
      <c r="F42" s="3"/>
      <c r="K42" s="3">
        <v>1.7641899999999999</v>
      </c>
    </row>
    <row r="43" spans="1:11" x14ac:dyDescent="0.25">
      <c r="A43" s="3">
        <v>2.69475</v>
      </c>
      <c r="B43" s="3">
        <f t="shared" si="0"/>
        <v>0.53724182515555341</v>
      </c>
      <c r="F43" s="3"/>
      <c r="K43" s="3">
        <v>4.7862799999999996</v>
      </c>
    </row>
    <row r="44" spans="1:11" x14ac:dyDescent="0.25">
      <c r="A44" s="3">
        <v>2.72661</v>
      </c>
      <c r="B44" s="3">
        <f t="shared" si="0"/>
        <v>0.58496159424595351</v>
      </c>
      <c r="F44" s="3"/>
      <c r="K44" s="3">
        <v>9.3262300000000007</v>
      </c>
    </row>
    <row r="45" spans="1:11" x14ac:dyDescent="0.25">
      <c r="A45" s="3">
        <v>2.7359800000000001</v>
      </c>
      <c r="B45" s="3">
        <f t="shared" si="0"/>
        <v>0.59938226449275367</v>
      </c>
      <c r="F45" s="3"/>
      <c r="K45" s="3">
        <v>2.7852100000000002</v>
      </c>
    </row>
    <row r="46" spans="1:11" x14ac:dyDescent="0.25">
      <c r="A46" s="3">
        <v>2.7911600000000001</v>
      </c>
      <c r="B46" s="3">
        <f t="shared" si="0"/>
        <v>0.68786756830795381</v>
      </c>
      <c r="F46" s="3"/>
      <c r="K46" s="3">
        <v>12.2189</v>
      </c>
    </row>
    <row r="47" spans="1:11" x14ac:dyDescent="0.25">
      <c r="A47" s="3">
        <v>2.80681</v>
      </c>
      <c r="B47" s="3">
        <f t="shared" si="0"/>
        <v>0.71407201657395369</v>
      </c>
      <c r="F47" s="3"/>
      <c r="K47" s="3">
        <v>2.7725499999999998</v>
      </c>
    </row>
    <row r="48" spans="1:11" x14ac:dyDescent="0.25">
      <c r="A48" s="3">
        <v>2.8380100000000001</v>
      </c>
      <c r="B48" s="3">
        <f t="shared" si="0"/>
        <v>0.76777519254195392</v>
      </c>
      <c r="F48" s="3"/>
      <c r="K48" s="3">
        <v>4.7862299999999998</v>
      </c>
    </row>
    <row r="49" spans="1:11" x14ac:dyDescent="0.25">
      <c r="A49" s="3">
        <v>2.8650799999999998</v>
      </c>
      <c r="B49" s="3">
        <f t="shared" si="0"/>
        <v>0.81594695161675346</v>
      </c>
      <c r="F49" s="3"/>
      <c r="K49" s="3">
        <v>5.0236499999999999</v>
      </c>
    </row>
    <row r="50" spans="1:11" x14ac:dyDescent="0.25">
      <c r="A50" s="3">
        <v>2.9084699999999999</v>
      </c>
      <c r="B50" s="3">
        <f t="shared" si="0"/>
        <v>0.89621782853635357</v>
      </c>
      <c r="F50" s="3"/>
      <c r="K50" s="3">
        <v>2.9275000000000002</v>
      </c>
    </row>
    <row r="51" spans="1:11" x14ac:dyDescent="0.25">
      <c r="A51" s="3">
        <v>2.9272100000000001</v>
      </c>
      <c r="B51" s="3">
        <f t="shared" si="0"/>
        <v>0.93205087562995403</v>
      </c>
      <c r="F51" s="3"/>
      <c r="K51" s="3">
        <v>6.2996100000000004</v>
      </c>
    </row>
    <row r="52" spans="1:11" x14ac:dyDescent="0.25">
      <c r="F52" s="3"/>
    </row>
    <row r="53" spans="1:11" x14ac:dyDescent="0.25">
      <c r="F53" s="3"/>
    </row>
    <row r="54" spans="1:11" ht="39.6" x14ac:dyDescent="0.25">
      <c r="A54" s="4" t="s">
        <v>2</v>
      </c>
      <c r="B54" s="4" t="s">
        <v>4</v>
      </c>
      <c r="C54" s="4" t="s">
        <v>5</v>
      </c>
      <c r="E54" s="6"/>
      <c r="F54" s="7"/>
      <c r="G54" s="6"/>
    </row>
    <row r="55" spans="1:11" x14ac:dyDescent="0.25">
      <c r="A55" s="5">
        <f>SUM(A2:A51)</f>
        <v>98.089108999999965</v>
      </c>
      <c r="B55" s="5">
        <f>SUM(B2:B51)</f>
        <v>15.52032916552943</v>
      </c>
      <c r="C55" s="5">
        <f>SQRT(B56)</f>
        <v>0.5571414392329731</v>
      </c>
      <c r="E55" s="8"/>
      <c r="F55" s="8"/>
    </row>
    <row r="56" spans="1:11" x14ac:dyDescent="0.25">
      <c r="A56" s="5">
        <f>A55/50</f>
        <v>1.9617821799999993</v>
      </c>
      <c r="B56" s="5">
        <f>B55/50</f>
        <v>0.31040658331058862</v>
      </c>
      <c r="C56" s="5"/>
      <c r="E56" s="8"/>
      <c r="F56" s="8"/>
    </row>
    <row r="57" spans="1:11" x14ac:dyDescent="0.25">
      <c r="F57" s="3"/>
    </row>
    <row r="58" spans="1:11" x14ac:dyDescent="0.25">
      <c r="F58" s="3"/>
    </row>
    <row r="59" spans="1:11" x14ac:dyDescent="0.25">
      <c r="F59" s="3"/>
    </row>
    <row r="60" spans="1:11" x14ac:dyDescent="0.25">
      <c r="A60" s="1"/>
      <c r="F60" s="3"/>
    </row>
    <row r="61" spans="1:11" x14ac:dyDescent="0.25">
      <c r="A61" s="3"/>
    </row>
    <row r="62" spans="1:11" x14ac:dyDescent="0.25">
      <c r="A62" s="3"/>
    </row>
    <row r="63" spans="1:11" x14ac:dyDescent="0.25">
      <c r="A63" s="3"/>
    </row>
    <row r="64" spans="1:1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</sheetData>
  <sortState xmlns:xlrd2="http://schemas.microsoft.com/office/spreadsheetml/2017/richdata2" ref="A2:A51">
    <sortCondition ref="A2:A51"/>
  </sortState>
  <mergeCells count="2">
    <mergeCell ref="D11:E11"/>
    <mergeCell ref="D18:E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3A9B-5029-4B4B-925E-99CDB2FA3AEA}">
  <dimension ref="A1:G57"/>
  <sheetViews>
    <sheetView workbookViewId="0">
      <selection activeCell="D58" sqref="D58"/>
    </sheetView>
  </sheetViews>
  <sheetFormatPr defaultRowHeight="14.4" x14ac:dyDescent="0.3"/>
  <cols>
    <col min="1" max="1" width="16.44140625" style="15" customWidth="1"/>
    <col min="2" max="2" width="18.33203125" style="15" customWidth="1"/>
    <col min="3" max="3" width="16.88671875" style="15" customWidth="1"/>
    <col min="4" max="4" width="16.77734375" style="15" customWidth="1"/>
    <col min="5" max="6" width="13.109375" style="15" customWidth="1"/>
    <col min="7" max="7" width="14.88671875" style="15" customWidth="1"/>
    <col min="8" max="16384" width="8.88671875" style="15"/>
  </cols>
  <sheetData>
    <row r="1" spans="1:7" x14ac:dyDescent="0.3">
      <c r="A1" s="1" t="s">
        <v>0</v>
      </c>
      <c r="B1" s="1" t="s">
        <v>1</v>
      </c>
      <c r="C1" s="16" t="s">
        <v>21</v>
      </c>
      <c r="D1" s="16" t="s">
        <v>26</v>
      </c>
      <c r="E1" s="16" t="s">
        <v>27</v>
      </c>
      <c r="F1" s="16" t="s">
        <v>28</v>
      </c>
      <c r="G1" s="16" t="s">
        <v>29</v>
      </c>
    </row>
    <row r="2" spans="1:7" x14ac:dyDescent="0.3">
      <c r="A2" s="3">
        <v>1.0218100000000001</v>
      </c>
      <c r="B2" s="3">
        <v>5.1363300000000001</v>
      </c>
      <c r="C2" s="15">
        <f>A2-$A$57</f>
        <v>-0.93997217999999916</v>
      </c>
      <c r="D2" s="15">
        <f>B2-$B$57</f>
        <v>0.66104272000000019</v>
      </c>
      <c r="E2" s="15">
        <f>C2*D2</f>
        <v>-0.6213617665915292</v>
      </c>
      <c r="F2" s="15">
        <f>POWER(C2,2)</f>
        <v>0.88354769917395082</v>
      </c>
      <c r="G2" s="15">
        <f>POWER(D2,2)</f>
        <v>0.43697747766499867</v>
      </c>
    </row>
    <row r="3" spans="1:7" x14ac:dyDescent="0.3">
      <c r="A3" s="3">
        <v>1.18757</v>
      </c>
      <c r="B3" s="3">
        <v>6.6862700000000004</v>
      </c>
      <c r="C3" s="15">
        <f t="shared" ref="C3:C51" si="0">A3-$A$57</f>
        <v>-0.77421217999999925</v>
      </c>
      <c r="D3" s="15">
        <f t="shared" ref="D3:D51" si="1">B3-$B$57</f>
        <v>2.2109827200000005</v>
      </c>
      <c r="E3" s="15">
        <f t="shared" ref="E3:E51" si="2">C3*D3</f>
        <v>-1.7117697515935284</v>
      </c>
      <c r="F3" s="15">
        <f t="shared" ref="F3:F51" si="3">POWER(C3,2)</f>
        <v>0.59940449966035125</v>
      </c>
      <c r="G3" s="15">
        <f t="shared" ref="G3:G51" si="4">POWER(D3,2)</f>
        <v>4.8884445881386007</v>
      </c>
    </row>
    <row r="4" spans="1:7" x14ac:dyDescent="0.3">
      <c r="A4" s="3">
        <v>1.22424</v>
      </c>
      <c r="B4" s="3">
        <v>0.29131499999999999</v>
      </c>
      <c r="C4" s="15">
        <f t="shared" si="0"/>
        <v>-0.73754217999999927</v>
      </c>
      <c r="D4" s="15">
        <f t="shared" si="1"/>
        <v>-4.1839722799999999</v>
      </c>
      <c r="E4" s="15">
        <f t="shared" si="2"/>
        <v>3.0858560364507674</v>
      </c>
      <c r="F4" s="15">
        <f t="shared" si="3"/>
        <v>0.54396846727915127</v>
      </c>
      <c r="G4" s="15">
        <f t="shared" si="4"/>
        <v>17.505624039808396</v>
      </c>
    </row>
    <row r="5" spans="1:7" x14ac:dyDescent="0.3">
      <c r="A5" s="3">
        <v>1.23054</v>
      </c>
      <c r="B5" s="3">
        <v>5.1470700000000003</v>
      </c>
      <c r="C5" s="15">
        <f t="shared" si="0"/>
        <v>-0.7312421799999993</v>
      </c>
      <c r="D5" s="15">
        <f t="shared" si="1"/>
        <v>0.67178272000000039</v>
      </c>
      <c r="E5" s="15">
        <f t="shared" si="2"/>
        <v>-0.49123586065912939</v>
      </c>
      <c r="F5" s="15">
        <f t="shared" si="3"/>
        <v>0.53471512581115133</v>
      </c>
      <c r="G5" s="15">
        <f t="shared" si="4"/>
        <v>0.45129202289059894</v>
      </c>
    </row>
    <row r="6" spans="1:7" x14ac:dyDescent="0.3">
      <c r="A6" s="3">
        <v>1.2317800000000001</v>
      </c>
      <c r="B6" s="3">
        <v>5.0792099999999998</v>
      </c>
      <c r="C6" s="15">
        <f t="shared" si="0"/>
        <v>-0.73000217999999917</v>
      </c>
      <c r="D6" s="15">
        <f t="shared" si="1"/>
        <v>0.60392271999999991</v>
      </c>
      <c r="E6" s="15">
        <f t="shared" si="2"/>
        <v>-0.44086490215152901</v>
      </c>
      <c r="F6" s="15">
        <f t="shared" si="3"/>
        <v>0.53290318280475113</v>
      </c>
      <c r="G6" s="15">
        <f t="shared" si="4"/>
        <v>0.36472265173219831</v>
      </c>
    </row>
    <row r="7" spans="1:7" x14ac:dyDescent="0.3">
      <c r="A7" s="3">
        <v>1.2373099999999999</v>
      </c>
      <c r="B7" s="3">
        <v>0.57628599999999996</v>
      </c>
      <c r="C7" s="15">
        <f t="shared" si="0"/>
        <v>-0.72447217999999936</v>
      </c>
      <c r="D7" s="15">
        <f t="shared" si="1"/>
        <v>-3.8990012799999998</v>
      </c>
      <c r="E7" s="15">
        <f t="shared" si="2"/>
        <v>2.8247179571443879</v>
      </c>
      <c r="F7" s="15">
        <f t="shared" si="3"/>
        <v>0.5248599395939515</v>
      </c>
      <c r="G7" s="15">
        <f t="shared" si="4"/>
        <v>15.202210981441636</v>
      </c>
    </row>
    <row r="8" spans="1:7" x14ac:dyDescent="0.3">
      <c r="A8" s="3">
        <v>1.2444299999999999</v>
      </c>
      <c r="B8" s="3">
        <v>10.639849999999999</v>
      </c>
      <c r="C8" s="15">
        <f t="shared" si="0"/>
        <v>-0.71735217999999934</v>
      </c>
      <c r="D8" s="15">
        <f t="shared" si="1"/>
        <v>6.1645627199999993</v>
      </c>
      <c r="E8" s="15">
        <f t="shared" si="2"/>
        <v>-4.4221625059387248</v>
      </c>
      <c r="F8" s="15">
        <f t="shared" si="3"/>
        <v>0.51459415015075149</v>
      </c>
      <c r="G8" s="15">
        <f t="shared" si="4"/>
        <v>38.001833528813791</v>
      </c>
    </row>
    <row r="9" spans="1:7" x14ac:dyDescent="0.3">
      <c r="A9" s="3">
        <v>1.26769</v>
      </c>
      <c r="B9" s="3">
        <v>8.4246800000000004</v>
      </c>
      <c r="C9" s="15">
        <f t="shared" si="0"/>
        <v>-0.69409217999999928</v>
      </c>
      <c r="D9" s="15">
        <f t="shared" si="1"/>
        <v>3.9493927200000005</v>
      </c>
      <c r="E9" s="15">
        <f t="shared" si="2"/>
        <v>-2.7412426027009271</v>
      </c>
      <c r="F9" s="15">
        <f t="shared" si="3"/>
        <v>0.48176395433715141</v>
      </c>
      <c r="G9" s="15">
        <f t="shared" si="4"/>
        <v>15.597702856789002</v>
      </c>
    </row>
    <row r="10" spans="1:7" x14ac:dyDescent="0.3">
      <c r="A10" s="3">
        <v>1.29125</v>
      </c>
      <c r="B10" s="3">
        <v>2.1817000000000002</v>
      </c>
      <c r="C10" s="15">
        <f t="shared" si="0"/>
        <v>-0.67053217999999926</v>
      </c>
      <c r="D10" s="15">
        <f t="shared" si="1"/>
        <v>-2.2935872799999997</v>
      </c>
      <c r="E10" s="15">
        <f t="shared" si="2"/>
        <v>1.5379240788786686</v>
      </c>
      <c r="F10" s="15">
        <f t="shared" si="3"/>
        <v>0.44961340441555142</v>
      </c>
      <c r="G10" s="15">
        <f t="shared" si="4"/>
        <v>5.2605426109777973</v>
      </c>
    </row>
    <row r="11" spans="1:7" x14ac:dyDescent="0.3">
      <c r="A11" s="3">
        <v>1.2929900000000001</v>
      </c>
      <c r="B11" s="3">
        <v>2.8486600000000002</v>
      </c>
      <c r="C11" s="15">
        <f t="shared" si="0"/>
        <v>-0.66879217999999918</v>
      </c>
      <c r="D11" s="15">
        <f t="shared" si="1"/>
        <v>-1.6266272799999997</v>
      </c>
      <c r="E11" s="15">
        <f t="shared" si="2"/>
        <v>1.0878756046386688</v>
      </c>
      <c r="F11" s="15">
        <f t="shared" si="3"/>
        <v>0.44728298002915129</v>
      </c>
      <c r="G11" s="15">
        <f t="shared" si="4"/>
        <v>2.6459163080401975</v>
      </c>
    </row>
    <row r="12" spans="1:7" x14ac:dyDescent="0.3">
      <c r="A12" s="3">
        <v>1.3166599999999999</v>
      </c>
      <c r="B12" s="3">
        <v>2.0169899999999998</v>
      </c>
      <c r="C12" s="15">
        <f t="shared" si="0"/>
        <v>-0.64512217999999932</v>
      </c>
      <c r="D12" s="15">
        <f t="shared" si="1"/>
        <v>-2.45829728</v>
      </c>
      <c r="E12" s="15">
        <f t="shared" si="2"/>
        <v>1.5859021003616687</v>
      </c>
      <c r="F12" s="15">
        <f t="shared" si="3"/>
        <v>0.41618262712795151</v>
      </c>
      <c r="G12" s="15">
        <f t="shared" si="4"/>
        <v>6.0432255168553981</v>
      </c>
    </row>
    <row r="13" spans="1:7" x14ac:dyDescent="0.3">
      <c r="A13" s="3">
        <v>1.3441099999999999</v>
      </c>
      <c r="B13" s="3">
        <v>1.13697</v>
      </c>
      <c r="C13" s="15">
        <f t="shared" si="0"/>
        <v>-0.61767217999999935</v>
      </c>
      <c r="D13" s="15">
        <f t="shared" si="1"/>
        <v>-3.3383172800000001</v>
      </c>
      <c r="E13" s="15">
        <f t="shared" si="2"/>
        <v>2.0619857118692684</v>
      </c>
      <c r="F13" s="15">
        <f t="shared" si="3"/>
        <v>0.38151892194595161</v>
      </c>
      <c r="G13" s="15">
        <f t="shared" si="4"/>
        <v>11.144362261946599</v>
      </c>
    </row>
    <row r="14" spans="1:7" x14ac:dyDescent="0.3">
      <c r="A14" s="3">
        <v>1.3559600000000001</v>
      </c>
      <c r="B14" s="3">
        <v>5.2546600000000003</v>
      </c>
      <c r="C14" s="15">
        <f t="shared" si="0"/>
        <v>-0.60582217999999921</v>
      </c>
      <c r="D14" s="15">
        <f t="shared" si="1"/>
        <v>0.77937272000000046</v>
      </c>
      <c r="E14" s="15">
        <f t="shared" si="2"/>
        <v>-0.47216128026292925</v>
      </c>
      <c r="F14" s="15">
        <f t="shared" si="3"/>
        <v>0.36702051377995143</v>
      </c>
      <c r="G14" s="15">
        <f t="shared" si="4"/>
        <v>0.60742183668019911</v>
      </c>
    </row>
    <row r="15" spans="1:7" x14ac:dyDescent="0.3">
      <c r="A15" s="3">
        <v>1.35772</v>
      </c>
      <c r="B15" s="3">
        <v>4.67936</v>
      </c>
      <c r="C15" s="15">
        <f t="shared" si="0"/>
        <v>-0.60406217999999923</v>
      </c>
      <c r="D15" s="15">
        <f t="shared" si="1"/>
        <v>0.2040727200000001</v>
      </c>
      <c r="E15" s="15">
        <f t="shared" si="2"/>
        <v>-0.12327261212172951</v>
      </c>
      <c r="F15" s="15">
        <f t="shared" si="3"/>
        <v>0.36489111730635149</v>
      </c>
      <c r="G15" s="15">
        <f t="shared" si="4"/>
        <v>4.1645675048198438E-2</v>
      </c>
    </row>
    <row r="16" spans="1:7" x14ac:dyDescent="0.3">
      <c r="A16" s="3">
        <v>1.37456</v>
      </c>
      <c r="B16" s="3">
        <v>5.5770600000000004</v>
      </c>
      <c r="C16" s="15">
        <f t="shared" si="0"/>
        <v>-0.58722217999999926</v>
      </c>
      <c r="D16" s="15">
        <f t="shared" si="1"/>
        <v>1.1017727200000005</v>
      </c>
      <c r="E16" s="15">
        <f t="shared" si="2"/>
        <v>-0.64698537850292903</v>
      </c>
      <c r="F16" s="15">
        <f t="shared" si="3"/>
        <v>0.34482988868395154</v>
      </c>
      <c r="G16" s="15">
        <f t="shared" si="4"/>
        <v>1.2139031265361995</v>
      </c>
    </row>
    <row r="17" spans="1:7" x14ac:dyDescent="0.3">
      <c r="A17" s="3">
        <v>1.4418800000000001</v>
      </c>
      <c r="B17" s="3">
        <v>7.05016</v>
      </c>
      <c r="C17" s="15">
        <f t="shared" si="0"/>
        <v>-0.51990217999999921</v>
      </c>
      <c r="D17" s="15">
        <f t="shared" si="1"/>
        <v>2.5748727200000001</v>
      </c>
      <c r="E17" s="15">
        <f t="shared" si="2"/>
        <v>-1.3386819403505277</v>
      </c>
      <c r="F17" s="15">
        <f t="shared" si="3"/>
        <v>0.27029827676875157</v>
      </c>
      <c r="G17" s="15">
        <f t="shared" si="4"/>
        <v>6.6299695242001988</v>
      </c>
    </row>
    <row r="18" spans="1:7" x14ac:dyDescent="0.3">
      <c r="A18" s="3">
        <v>1.45451</v>
      </c>
      <c r="B18" s="3">
        <v>8.7911699999999993</v>
      </c>
      <c r="C18" s="15">
        <f t="shared" si="0"/>
        <v>-0.5072721799999993</v>
      </c>
      <c r="D18" s="15">
        <f t="shared" si="1"/>
        <v>4.3158827199999994</v>
      </c>
      <c r="E18" s="15">
        <f t="shared" si="2"/>
        <v>-2.1893272359987264</v>
      </c>
      <c r="F18" s="15">
        <f t="shared" si="3"/>
        <v>0.2573250646019517</v>
      </c>
      <c r="G18" s="15">
        <f t="shared" si="4"/>
        <v>18.626843652794594</v>
      </c>
    </row>
    <row r="19" spans="1:7" x14ac:dyDescent="0.3">
      <c r="A19" s="3">
        <v>1.5619799999999999</v>
      </c>
      <c r="B19" s="3">
        <v>10.263999999999999</v>
      </c>
      <c r="C19" s="15">
        <f t="shared" si="0"/>
        <v>-0.39980217999999934</v>
      </c>
      <c r="D19" s="15">
        <f t="shared" si="1"/>
        <v>5.7887127199999995</v>
      </c>
      <c r="E19" s="15">
        <f t="shared" si="2"/>
        <v>-2.3143399648497254</v>
      </c>
      <c r="F19" s="15">
        <f t="shared" si="3"/>
        <v>0.15984178313275188</v>
      </c>
      <c r="G19" s="15">
        <f t="shared" si="4"/>
        <v>33.509194954689789</v>
      </c>
    </row>
    <row r="20" spans="1:7" x14ac:dyDescent="0.3">
      <c r="A20" s="3">
        <v>1.62961</v>
      </c>
      <c r="B20" s="3">
        <v>1.1330499999999999</v>
      </c>
      <c r="C20" s="15">
        <f t="shared" si="0"/>
        <v>-0.33217217999999926</v>
      </c>
      <c r="D20" s="15">
        <f t="shared" si="1"/>
        <v>-3.34223728</v>
      </c>
      <c r="E20" s="15">
        <f t="shared" si="2"/>
        <v>1.1101982433748678</v>
      </c>
      <c r="F20" s="15">
        <f t="shared" si="3"/>
        <v>0.1103383571659519</v>
      </c>
      <c r="G20" s="15">
        <f t="shared" si="4"/>
        <v>11.170550035821798</v>
      </c>
    </row>
    <row r="21" spans="1:7" x14ac:dyDescent="0.3">
      <c r="A21" s="3">
        <v>1.7806299999999999</v>
      </c>
      <c r="B21" s="3">
        <v>2.1659299999999999</v>
      </c>
      <c r="C21" s="15">
        <f t="shared" si="0"/>
        <v>-0.18115217999999933</v>
      </c>
      <c r="D21" s="15">
        <f t="shared" si="1"/>
        <v>-2.30935728</v>
      </c>
      <c r="E21" s="15">
        <f t="shared" si="2"/>
        <v>0.41834510567086886</v>
      </c>
      <c r="F21" s="15">
        <f t="shared" si="3"/>
        <v>3.2816112318752158E-2</v>
      </c>
      <c r="G21" s="15">
        <f t="shared" si="4"/>
        <v>5.3331310466889983</v>
      </c>
    </row>
    <row r="22" spans="1:7" x14ac:dyDescent="0.3">
      <c r="A22" s="3">
        <v>1.7948599999999999</v>
      </c>
      <c r="B22" s="3">
        <v>4.09626</v>
      </c>
      <c r="C22" s="15">
        <f t="shared" si="0"/>
        <v>-0.16692217999999936</v>
      </c>
      <c r="D22" s="15">
        <f t="shared" si="1"/>
        <v>-0.37902727999999986</v>
      </c>
      <c r="E22" s="15">
        <f t="shared" si="2"/>
        <v>6.3268059857070139E-2</v>
      </c>
      <c r="F22" s="15">
        <f t="shared" si="3"/>
        <v>2.7863014175952189E-2</v>
      </c>
      <c r="G22" s="15">
        <f t="shared" si="4"/>
        <v>0.14366167898419829</v>
      </c>
    </row>
    <row r="23" spans="1:7" x14ac:dyDescent="0.3">
      <c r="A23" s="3">
        <v>1.82836</v>
      </c>
      <c r="B23" s="3">
        <v>2.3341400000000001</v>
      </c>
      <c r="C23" s="15">
        <f t="shared" si="0"/>
        <v>-0.13342217999999928</v>
      </c>
      <c r="D23" s="15">
        <f t="shared" si="1"/>
        <v>-2.1411472799999998</v>
      </c>
      <c r="E23" s="15">
        <f t="shared" si="2"/>
        <v>0.28567653779866881</v>
      </c>
      <c r="F23" s="15">
        <f t="shared" si="3"/>
        <v>1.7801478115952209E-2</v>
      </c>
      <c r="G23" s="15">
        <f t="shared" si="4"/>
        <v>4.584511674651397</v>
      </c>
    </row>
    <row r="24" spans="1:7" x14ac:dyDescent="0.3">
      <c r="A24" s="3">
        <v>1.8548500000000001</v>
      </c>
      <c r="B24" s="3">
        <v>9.4604800000000004</v>
      </c>
      <c r="C24" s="15">
        <f t="shared" si="0"/>
        <v>-0.10693217999999916</v>
      </c>
      <c r="D24" s="15">
        <f t="shared" si="1"/>
        <v>4.9851927200000006</v>
      </c>
      <c r="E24" s="15">
        <f t="shared" si="2"/>
        <v>-0.53307752526972541</v>
      </c>
      <c r="F24" s="15">
        <f t="shared" si="3"/>
        <v>1.1434491119552219E-2</v>
      </c>
      <c r="G24" s="15">
        <f t="shared" si="4"/>
        <v>24.852146455541003</v>
      </c>
    </row>
    <row r="25" spans="1:7" x14ac:dyDescent="0.3">
      <c r="A25" s="3">
        <v>1.88008</v>
      </c>
      <c r="B25" s="3">
        <v>6.3081500000000004</v>
      </c>
      <c r="C25" s="15">
        <f t="shared" si="0"/>
        <v>-8.1702179999999291E-2</v>
      </c>
      <c r="D25" s="15">
        <f t="shared" si="1"/>
        <v>1.8328627200000005</v>
      </c>
      <c r="E25" s="15">
        <f t="shared" si="2"/>
        <v>-0.14974887986472835</v>
      </c>
      <c r="F25" s="15">
        <f t="shared" si="3"/>
        <v>6.6752462167522847E-3</v>
      </c>
      <c r="G25" s="15">
        <f t="shared" si="4"/>
        <v>3.3593857503658002</v>
      </c>
    </row>
    <row r="26" spans="1:7" x14ac:dyDescent="0.3">
      <c r="A26" s="3">
        <v>1.9734700000000001</v>
      </c>
      <c r="B26" s="3">
        <v>4.0541200000000002</v>
      </c>
      <c r="C26" s="15">
        <f t="shared" si="0"/>
        <v>1.1687820000000793E-2</v>
      </c>
      <c r="D26" s="15">
        <f t="shared" si="1"/>
        <v>-0.4211672799999997</v>
      </c>
      <c r="E26" s="15">
        <f t="shared" si="2"/>
        <v>-4.92252735852993E-3</v>
      </c>
      <c r="F26" s="15">
        <f t="shared" si="3"/>
        <v>1.3660513635241852E-4</v>
      </c>
      <c r="G26" s="15">
        <f t="shared" si="4"/>
        <v>0.17738187774259814</v>
      </c>
    </row>
    <row r="27" spans="1:7" x14ac:dyDescent="0.3">
      <c r="A27" s="3">
        <v>2.0126400000000002</v>
      </c>
      <c r="B27" s="3">
        <v>2.7465700000000002</v>
      </c>
      <c r="C27" s="15">
        <f t="shared" si="0"/>
        <v>5.0857820000000942E-2</v>
      </c>
      <c r="D27" s="15">
        <f t="shared" si="1"/>
        <v>-1.7287172799999997</v>
      </c>
      <c r="E27" s="15">
        <f t="shared" si="2"/>
        <v>-8.7918792257131215E-2</v>
      </c>
      <c r="F27" s="15">
        <f t="shared" si="3"/>
        <v>2.5865178551524957E-3</v>
      </c>
      <c r="G27" s="15">
        <f t="shared" si="4"/>
        <v>2.9884634341705971</v>
      </c>
    </row>
    <row r="28" spans="1:7" x14ac:dyDescent="0.3">
      <c r="A28" s="3">
        <v>2.0194589999999999</v>
      </c>
      <c r="B28" s="3">
        <v>2.3625500000000001</v>
      </c>
      <c r="C28" s="15">
        <f t="shared" si="0"/>
        <v>5.7676820000000628E-2</v>
      </c>
      <c r="D28" s="15">
        <f t="shared" si="1"/>
        <v>-2.1127372799999997</v>
      </c>
      <c r="E28" s="15">
        <f t="shared" si="2"/>
        <v>-0.12185596780585091</v>
      </c>
      <c r="F28" s="15">
        <f t="shared" si="3"/>
        <v>3.3266155653124724E-3</v>
      </c>
      <c r="G28" s="15">
        <f t="shared" si="4"/>
        <v>4.4636588143017972</v>
      </c>
    </row>
    <row r="29" spans="1:7" x14ac:dyDescent="0.3">
      <c r="A29" s="3">
        <v>2.03674</v>
      </c>
      <c r="B29" s="3">
        <v>-1.51603</v>
      </c>
      <c r="C29" s="15">
        <f t="shared" si="0"/>
        <v>7.495782000000073E-2</v>
      </c>
      <c r="D29" s="15">
        <f t="shared" si="1"/>
        <v>-5.9913172799999996</v>
      </c>
      <c r="E29" s="15">
        <f t="shared" si="2"/>
        <v>-0.44909608223713393</v>
      </c>
      <c r="F29" s="15">
        <f t="shared" si="3"/>
        <v>5.6186747791525096E-3</v>
      </c>
      <c r="G29" s="15">
        <f t="shared" si="4"/>
        <v>35.895882749626594</v>
      </c>
    </row>
    <row r="30" spans="1:7" x14ac:dyDescent="0.3">
      <c r="A30" s="3">
        <v>2.0678200000000002</v>
      </c>
      <c r="B30" s="3">
        <v>7.6174799999999996</v>
      </c>
      <c r="C30" s="15">
        <f t="shared" si="0"/>
        <v>0.10603782000000095</v>
      </c>
      <c r="D30" s="15">
        <f t="shared" si="1"/>
        <v>3.1421927199999997</v>
      </c>
      <c r="E30" s="15">
        <f t="shared" si="2"/>
        <v>0.33319126604867333</v>
      </c>
      <c r="F30" s="15">
        <f t="shared" si="3"/>
        <v>1.1244019270352601E-2</v>
      </c>
      <c r="G30" s="15">
        <f t="shared" si="4"/>
        <v>9.8733750896209962</v>
      </c>
    </row>
    <row r="31" spans="1:7" x14ac:dyDescent="0.3">
      <c r="A31" s="3">
        <v>2.0776699999999999</v>
      </c>
      <c r="B31" s="3">
        <v>0.29575800000000002</v>
      </c>
      <c r="C31" s="15">
        <f t="shared" si="0"/>
        <v>0.11588782000000064</v>
      </c>
      <c r="D31" s="15">
        <f t="shared" si="1"/>
        <v>-4.1795292799999997</v>
      </c>
      <c r="E31" s="15">
        <f t="shared" si="2"/>
        <v>-0.48435653688537222</v>
      </c>
      <c r="F31" s="15">
        <f t="shared" si="3"/>
        <v>1.3429986824352548E-2</v>
      </c>
      <c r="G31" s="15">
        <f t="shared" si="4"/>
        <v>17.468465002377314</v>
      </c>
    </row>
    <row r="32" spans="1:7" x14ac:dyDescent="0.3">
      <c r="A32" s="3">
        <v>2.08955</v>
      </c>
      <c r="B32" s="3">
        <v>7.3238899999999996</v>
      </c>
      <c r="C32" s="15">
        <f t="shared" si="0"/>
        <v>0.12776782000000075</v>
      </c>
      <c r="D32" s="15">
        <f t="shared" si="1"/>
        <v>2.8486027199999997</v>
      </c>
      <c r="E32" s="15">
        <f t="shared" si="2"/>
        <v>0.3639597595804725</v>
      </c>
      <c r="F32" s="15">
        <f t="shared" si="3"/>
        <v>1.6324615827552593E-2</v>
      </c>
      <c r="G32" s="15">
        <f t="shared" si="4"/>
        <v>8.1145374563913961</v>
      </c>
    </row>
    <row r="33" spans="1:7" x14ac:dyDescent="0.3">
      <c r="A33" s="3">
        <v>2.1318899999999998</v>
      </c>
      <c r="B33" s="3">
        <v>2.8535900000000001</v>
      </c>
      <c r="C33" s="15">
        <f t="shared" si="0"/>
        <v>0.17010782000000058</v>
      </c>
      <c r="D33" s="15">
        <f t="shared" si="1"/>
        <v>-1.6216972799999998</v>
      </c>
      <c r="E33" s="15">
        <f t="shared" si="2"/>
        <v>-0.27586338900073049</v>
      </c>
      <c r="F33" s="15">
        <f t="shared" si="3"/>
        <v>2.8936670425152595E-2</v>
      </c>
      <c r="G33" s="15">
        <f t="shared" si="4"/>
        <v>2.6299020679593976</v>
      </c>
    </row>
    <row r="34" spans="1:7" x14ac:dyDescent="0.3">
      <c r="A34" s="3">
        <v>2.24743</v>
      </c>
      <c r="B34" s="3">
        <v>2.7207699999999999</v>
      </c>
      <c r="C34" s="15">
        <f t="shared" si="0"/>
        <v>0.28564782000000077</v>
      </c>
      <c r="D34" s="15">
        <f t="shared" si="1"/>
        <v>-1.75451728</v>
      </c>
      <c r="E34" s="15">
        <f t="shared" si="2"/>
        <v>-0.50117403618433098</v>
      </c>
      <c r="F34" s="15">
        <f t="shared" si="3"/>
        <v>8.1594677070752838E-2</v>
      </c>
      <c r="G34" s="15">
        <f t="shared" si="4"/>
        <v>3.0783308858185983</v>
      </c>
    </row>
    <row r="35" spans="1:7" x14ac:dyDescent="0.3">
      <c r="A35" s="3">
        <v>2.2817099999999999</v>
      </c>
      <c r="B35" s="3">
        <v>6.1454000000000004</v>
      </c>
      <c r="C35" s="15">
        <f t="shared" si="0"/>
        <v>0.31992782000000064</v>
      </c>
      <c r="D35" s="15">
        <f t="shared" si="1"/>
        <v>1.6701127200000006</v>
      </c>
      <c r="E35" s="15">
        <f t="shared" si="2"/>
        <v>0.53431552166387164</v>
      </c>
      <c r="F35" s="15">
        <f t="shared" si="3"/>
        <v>0.10235381000995281</v>
      </c>
      <c r="G35" s="15">
        <f t="shared" si="4"/>
        <v>2.7892764975058002</v>
      </c>
    </row>
    <row r="36" spans="1:7" x14ac:dyDescent="0.3">
      <c r="A36" s="3">
        <v>2.4147799999999999</v>
      </c>
      <c r="B36" s="3">
        <v>1.12967</v>
      </c>
      <c r="C36" s="15">
        <f t="shared" si="0"/>
        <v>0.45299782000000066</v>
      </c>
      <c r="D36" s="15">
        <f t="shared" si="1"/>
        <v>-3.3456172799999999</v>
      </c>
      <c r="E36" s="15">
        <f t="shared" si="2"/>
        <v>-1.5155573343943318</v>
      </c>
      <c r="F36" s="15">
        <f t="shared" si="3"/>
        <v>0.20520702492475301</v>
      </c>
      <c r="G36" s="15">
        <f t="shared" si="4"/>
        <v>11.193154984234598</v>
      </c>
    </row>
    <row r="37" spans="1:7" x14ac:dyDescent="0.3">
      <c r="A37" s="3">
        <v>2.4552399999999999</v>
      </c>
      <c r="B37" s="3">
        <v>0.73295500000000002</v>
      </c>
      <c r="C37" s="15">
        <f t="shared" si="0"/>
        <v>0.4934578200000006</v>
      </c>
      <c r="D37" s="15">
        <f t="shared" si="1"/>
        <v>-3.7423322799999998</v>
      </c>
      <c r="E37" s="15">
        <f t="shared" si="2"/>
        <v>-1.8466831286044318</v>
      </c>
      <c r="F37" s="15">
        <f t="shared" si="3"/>
        <v>0.24350062011915299</v>
      </c>
      <c r="G37" s="15">
        <f t="shared" si="4"/>
        <v>14.005050893929997</v>
      </c>
    </row>
    <row r="38" spans="1:7" x14ac:dyDescent="0.3">
      <c r="A38" s="3">
        <v>2.4561500000000001</v>
      </c>
      <c r="B38" s="3">
        <v>2.0230700000000001</v>
      </c>
      <c r="C38" s="15">
        <f t="shared" si="0"/>
        <v>0.49436782000000079</v>
      </c>
      <c r="D38" s="15">
        <f t="shared" si="1"/>
        <v>-2.4522172799999997</v>
      </c>
      <c r="E38" s="15">
        <f t="shared" si="2"/>
        <v>-1.2122973108799313</v>
      </c>
      <c r="F38" s="15">
        <f t="shared" si="3"/>
        <v>0.24439954145155318</v>
      </c>
      <c r="G38" s="15">
        <f t="shared" si="4"/>
        <v>6.0133695883305966</v>
      </c>
    </row>
    <row r="39" spans="1:7" x14ac:dyDescent="0.3">
      <c r="A39" s="3">
        <v>2.46258</v>
      </c>
      <c r="B39" s="3">
        <v>4.7182700000000004</v>
      </c>
      <c r="C39" s="15">
        <f t="shared" si="0"/>
        <v>0.50079782000000073</v>
      </c>
      <c r="D39" s="15">
        <f t="shared" si="1"/>
        <v>0.24298272000000054</v>
      </c>
      <c r="E39" s="15">
        <f t="shared" si="2"/>
        <v>0.12168521647367085</v>
      </c>
      <c r="F39" s="15">
        <f t="shared" si="3"/>
        <v>0.25079845651675314</v>
      </c>
      <c r="G39" s="15">
        <f t="shared" si="4"/>
        <v>5.9040602218598665E-2</v>
      </c>
    </row>
    <row r="40" spans="1:7" x14ac:dyDescent="0.3">
      <c r="A40" s="3">
        <v>2.5245600000000001</v>
      </c>
      <c r="B40" s="3">
        <v>3.2783500000000001</v>
      </c>
      <c r="C40" s="15">
        <f t="shared" si="0"/>
        <v>0.56277782000000087</v>
      </c>
      <c r="D40" s="15">
        <f t="shared" si="1"/>
        <v>-1.1969372799999998</v>
      </c>
      <c r="E40" s="15">
        <f t="shared" si="2"/>
        <v>-0.67360975311513049</v>
      </c>
      <c r="F40" s="15">
        <f t="shared" si="3"/>
        <v>0.31671887468395338</v>
      </c>
      <c r="G40" s="15">
        <f t="shared" si="4"/>
        <v>1.4326588522537977</v>
      </c>
    </row>
    <row r="41" spans="1:7" x14ac:dyDescent="0.3">
      <c r="A41" s="3">
        <v>2.65469</v>
      </c>
      <c r="B41" s="3">
        <v>7.3078500000000002</v>
      </c>
      <c r="C41" s="15">
        <f t="shared" si="0"/>
        <v>0.69290782000000073</v>
      </c>
      <c r="D41" s="15">
        <f t="shared" si="1"/>
        <v>2.8325627200000003</v>
      </c>
      <c r="E41" s="15">
        <f t="shared" si="2"/>
        <v>1.9627048593284726</v>
      </c>
      <c r="F41" s="15">
        <f t="shared" si="3"/>
        <v>0.48012124701715342</v>
      </c>
      <c r="G41" s="15">
        <f t="shared" si="4"/>
        <v>8.0234115627338003</v>
      </c>
    </row>
    <row r="42" spans="1:7" x14ac:dyDescent="0.3">
      <c r="A42" s="3">
        <v>2.6832699999999998</v>
      </c>
      <c r="B42" s="3">
        <v>1.7641899999999999</v>
      </c>
      <c r="C42" s="15">
        <f t="shared" si="0"/>
        <v>0.72148782000000056</v>
      </c>
      <c r="D42" s="15">
        <f t="shared" si="1"/>
        <v>-2.7110972799999997</v>
      </c>
      <c r="E42" s="15">
        <f t="shared" si="2"/>
        <v>-1.9560236663551309</v>
      </c>
      <c r="F42" s="15">
        <f t="shared" si="3"/>
        <v>0.52054467440835317</v>
      </c>
      <c r="G42" s="15">
        <f t="shared" si="4"/>
        <v>7.3500484616233965</v>
      </c>
    </row>
    <row r="43" spans="1:7" x14ac:dyDescent="0.3">
      <c r="A43" s="3">
        <v>2.69475</v>
      </c>
      <c r="B43" s="3">
        <v>4.7862799999999996</v>
      </c>
      <c r="C43" s="15">
        <f t="shared" si="0"/>
        <v>0.73296782000000071</v>
      </c>
      <c r="D43" s="15">
        <f t="shared" si="1"/>
        <v>0.31099271999999978</v>
      </c>
      <c r="E43" s="15">
        <f t="shared" si="2"/>
        <v>0.22794765601427047</v>
      </c>
      <c r="F43" s="15">
        <f t="shared" si="3"/>
        <v>0.53724182515555341</v>
      </c>
      <c r="G43" s="15">
        <f t="shared" si="4"/>
        <v>9.6716471892998257E-2</v>
      </c>
    </row>
    <row r="44" spans="1:7" x14ac:dyDescent="0.3">
      <c r="A44" s="3">
        <v>2.72661</v>
      </c>
      <c r="B44" s="3">
        <v>9.3262300000000007</v>
      </c>
      <c r="C44" s="15">
        <f t="shared" si="0"/>
        <v>0.76482782000000071</v>
      </c>
      <c r="D44" s="15">
        <f t="shared" si="1"/>
        <v>4.8509427200000008</v>
      </c>
      <c r="E44" s="15">
        <f t="shared" si="2"/>
        <v>3.7101359454824743</v>
      </c>
      <c r="F44" s="15">
        <f t="shared" si="3"/>
        <v>0.58496159424595351</v>
      </c>
      <c r="G44" s="15">
        <f t="shared" si="4"/>
        <v>23.531645272721008</v>
      </c>
    </row>
    <row r="45" spans="1:7" x14ac:dyDescent="0.3">
      <c r="A45" s="3">
        <v>2.7359800000000001</v>
      </c>
      <c r="B45" s="3">
        <v>2.7852100000000002</v>
      </c>
      <c r="C45" s="15">
        <f t="shared" si="0"/>
        <v>0.77419782000000081</v>
      </c>
      <c r="D45" s="15">
        <f t="shared" si="1"/>
        <v>-1.6900772799999997</v>
      </c>
      <c r="E45" s="15">
        <f t="shared" si="2"/>
        <v>-1.3084541458075307</v>
      </c>
      <c r="F45" s="15">
        <f t="shared" si="3"/>
        <v>0.59938226449275367</v>
      </c>
      <c r="G45" s="15">
        <f t="shared" si="4"/>
        <v>2.8563612123721973</v>
      </c>
    </row>
    <row r="46" spans="1:7" x14ac:dyDescent="0.3">
      <c r="A46" s="3">
        <v>2.7911600000000001</v>
      </c>
      <c r="B46" s="3">
        <v>12.2189</v>
      </c>
      <c r="C46" s="15">
        <f t="shared" si="0"/>
        <v>0.82937782000000082</v>
      </c>
      <c r="D46" s="15">
        <f t="shared" si="1"/>
        <v>7.7436127199999998</v>
      </c>
      <c r="E46" s="15">
        <f t="shared" si="2"/>
        <v>6.4223806366378762</v>
      </c>
      <c r="F46" s="15">
        <f t="shared" si="3"/>
        <v>0.68786756830795381</v>
      </c>
      <c r="G46" s="15">
        <f t="shared" si="4"/>
        <v>59.963537957345793</v>
      </c>
    </row>
    <row r="47" spans="1:7" x14ac:dyDescent="0.3">
      <c r="A47" s="3">
        <v>2.80681</v>
      </c>
      <c r="B47" s="3">
        <v>2.7725499999999998</v>
      </c>
      <c r="C47" s="15">
        <f t="shared" si="0"/>
        <v>0.84502782000000076</v>
      </c>
      <c r="D47" s="15">
        <f t="shared" si="1"/>
        <v>-1.70273728</v>
      </c>
      <c r="E47" s="15">
        <f t="shared" si="2"/>
        <v>-1.438860371751131</v>
      </c>
      <c r="F47" s="15">
        <f t="shared" si="3"/>
        <v>0.71407201657395369</v>
      </c>
      <c r="G47" s="15">
        <f t="shared" si="4"/>
        <v>2.8993142447017983</v>
      </c>
    </row>
    <row r="48" spans="1:7" x14ac:dyDescent="0.3">
      <c r="A48" s="3">
        <v>2.8380100000000001</v>
      </c>
      <c r="B48" s="3">
        <v>4.7862299999999998</v>
      </c>
      <c r="C48" s="15">
        <f t="shared" si="0"/>
        <v>0.87622782000000088</v>
      </c>
      <c r="D48" s="15">
        <f t="shared" si="1"/>
        <v>0.31094271999999989</v>
      </c>
      <c r="E48" s="15">
        <f t="shared" si="2"/>
        <v>0.27245666169047056</v>
      </c>
      <c r="F48" s="15">
        <f t="shared" si="3"/>
        <v>0.76777519254195392</v>
      </c>
      <c r="G48" s="15">
        <f t="shared" si="4"/>
        <v>9.668537512099834E-2</v>
      </c>
    </row>
    <row r="49" spans="1:7" x14ac:dyDescent="0.3">
      <c r="A49" s="3">
        <v>2.8650799999999998</v>
      </c>
      <c r="B49" s="3">
        <v>5.0236499999999999</v>
      </c>
      <c r="C49" s="15">
        <f t="shared" si="0"/>
        <v>0.90329782000000058</v>
      </c>
      <c r="D49" s="15">
        <f t="shared" si="1"/>
        <v>0.54836272000000008</v>
      </c>
      <c r="E49" s="15">
        <f t="shared" si="2"/>
        <v>0.49533484954527079</v>
      </c>
      <c r="F49" s="15">
        <f t="shared" si="3"/>
        <v>0.81594695161675346</v>
      </c>
      <c r="G49" s="15">
        <f t="shared" si="4"/>
        <v>0.3007016726857985</v>
      </c>
    </row>
    <row r="50" spans="1:7" x14ac:dyDescent="0.3">
      <c r="A50" s="3">
        <v>2.9084699999999999</v>
      </c>
      <c r="B50" s="3">
        <v>2.9275000000000002</v>
      </c>
      <c r="C50" s="15">
        <f t="shared" si="0"/>
        <v>0.94668782000000062</v>
      </c>
      <c r="D50" s="15">
        <f t="shared" si="1"/>
        <v>-1.5477872799999997</v>
      </c>
      <c r="E50" s="15">
        <f t="shared" si="2"/>
        <v>-1.4652713659269303</v>
      </c>
      <c r="F50" s="15">
        <f t="shared" si="3"/>
        <v>0.89621782853635357</v>
      </c>
      <c r="G50" s="15">
        <f t="shared" si="4"/>
        <v>2.3956454641297973</v>
      </c>
    </row>
    <row r="51" spans="1:7" x14ac:dyDescent="0.3">
      <c r="A51" s="3">
        <v>2.9272100000000001</v>
      </c>
      <c r="B51" s="3">
        <v>6.2996100000000004</v>
      </c>
      <c r="C51" s="15">
        <f t="shared" si="0"/>
        <v>0.96542782000000082</v>
      </c>
      <c r="D51" s="15">
        <f t="shared" si="1"/>
        <v>1.8243227200000005</v>
      </c>
      <c r="E51" s="15">
        <f t="shared" si="2"/>
        <v>1.7612519065460723</v>
      </c>
      <c r="F51" s="15">
        <f t="shared" si="3"/>
        <v>0.93205087562995403</v>
      </c>
      <c r="G51" s="15">
        <f t="shared" si="4"/>
        <v>3.3281533867082</v>
      </c>
    </row>
    <row r="53" spans="1:7" x14ac:dyDescent="0.3">
      <c r="A53" s="18" t="s">
        <v>18</v>
      </c>
      <c r="B53" s="18"/>
      <c r="C53" s="18"/>
      <c r="D53" s="18"/>
      <c r="E53" s="18"/>
      <c r="F53" s="18"/>
      <c r="G53" s="18"/>
    </row>
    <row r="54" spans="1:7" x14ac:dyDescent="0.3">
      <c r="A54" s="15">
        <f>SUM(A2:A51)</f>
        <v>98.089108999999965</v>
      </c>
      <c r="B54" s="15">
        <f>SUM(B2:B51)</f>
        <v>223.764364</v>
      </c>
      <c r="E54" s="15">
        <f t="shared" ref="C54:G54" si="5">SUM(E2:E51)</f>
        <v>-1.271062900363517</v>
      </c>
      <c r="F54" s="15">
        <f t="shared" si="5"/>
        <v>17.343849044703379</v>
      </c>
      <c r="G54" s="15">
        <f t="shared" si="5"/>
        <v>458.63999013562</v>
      </c>
    </row>
    <row r="56" spans="1:7" x14ac:dyDescent="0.3">
      <c r="A56" s="18" t="s">
        <v>25</v>
      </c>
      <c r="B56" s="18"/>
      <c r="D56" s="15" t="s">
        <v>30</v>
      </c>
    </row>
    <row r="57" spans="1:7" x14ac:dyDescent="0.3">
      <c r="A57" s="15">
        <f>A54/50</f>
        <v>1.9617821799999993</v>
      </c>
      <c r="B57" s="15">
        <f>B54/50</f>
        <v>4.4752872799999999</v>
      </c>
      <c r="D57" s="15">
        <f>E54/50</f>
        <v>-2.5421258007270339E-2</v>
      </c>
    </row>
  </sheetData>
  <mergeCells count="2">
    <mergeCell ref="A56:B56"/>
    <mergeCell ref="A53:G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882F-E676-413A-926E-1DC392FC5FBC}">
  <dimension ref="A1:J51"/>
  <sheetViews>
    <sheetView tabSelected="1" topLeftCell="A31" workbookViewId="0">
      <selection activeCell="E32" sqref="E32"/>
    </sheetView>
  </sheetViews>
  <sheetFormatPr defaultRowHeight="14.4" x14ac:dyDescent="0.3"/>
  <cols>
    <col min="1" max="1" width="21.77734375" customWidth="1"/>
    <col min="2" max="2" width="17.44140625" customWidth="1"/>
    <col min="4" max="4" width="18.21875" customWidth="1"/>
    <col min="5" max="5" width="17.21875" customWidth="1"/>
    <col min="9" max="9" width="17.109375" customWidth="1"/>
    <col min="10" max="10" width="60.21875" customWidth="1"/>
  </cols>
  <sheetData>
    <row r="1" spans="1:10" x14ac:dyDescent="0.3">
      <c r="A1" s="1" t="s">
        <v>1</v>
      </c>
      <c r="B1" s="16" t="s">
        <v>26</v>
      </c>
    </row>
    <row r="2" spans="1:10" x14ac:dyDescent="0.3">
      <c r="A2" s="3">
        <v>-1.51603</v>
      </c>
      <c r="B2" s="15">
        <f>POWER(A2-$J$3,2)</f>
        <v>35.895882749626594</v>
      </c>
      <c r="I2" s="17" t="s">
        <v>19</v>
      </c>
      <c r="J2">
        <f>SUM(A2:A51)</f>
        <v>223.764364</v>
      </c>
    </row>
    <row r="3" spans="1:10" x14ac:dyDescent="0.3">
      <c r="A3" s="3">
        <v>0.29131499999999999</v>
      </c>
      <c r="B3" s="15">
        <f t="shared" ref="B3:B51" si="0">POWER(A3-$J$3,2)</f>
        <v>17.505624039808396</v>
      </c>
      <c r="I3" s="17" t="s">
        <v>20</v>
      </c>
      <c r="J3">
        <f>J2/50</f>
        <v>4.4752872799999999</v>
      </c>
    </row>
    <row r="4" spans="1:10" x14ac:dyDescent="0.3">
      <c r="A4" s="3">
        <v>0.29575800000000002</v>
      </c>
      <c r="B4" s="15">
        <f t="shared" si="0"/>
        <v>17.468465002377314</v>
      </c>
      <c r="I4" s="17" t="s">
        <v>23</v>
      </c>
      <c r="J4">
        <f>SUM(B2:B51)</f>
        <v>458.63999013562005</v>
      </c>
    </row>
    <row r="5" spans="1:10" x14ac:dyDescent="0.3">
      <c r="A5" s="3">
        <v>0.57628599999999996</v>
      </c>
      <c r="B5" s="15">
        <f t="shared" si="0"/>
        <v>15.202210981441636</v>
      </c>
      <c r="I5" s="17" t="s">
        <v>22</v>
      </c>
      <c r="J5">
        <f>J4/50</f>
        <v>9.1727998027124009</v>
      </c>
    </row>
    <row r="6" spans="1:10" ht="28.8" x14ac:dyDescent="0.3">
      <c r="A6" s="3">
        <v>0.73295500000000002</v>
      </c>
      <c r="B6" s="15">
        <f t="shared" si="0"/>
        <v>14.005050893929997</v>
      </c>
      <c r="I6" s="17" t="s">
        <v>24</v>
      </c>
      <c r="J6">
        <f>SQRT(J5)</f>
        <v>3.0286630388196705</v>
      </c>
    </row>
    <row r="7" spans="1:10" x14ac:dyDescent="0.3">
      <c r="A7" s="3">
        <v>1.12967</v>
      </c>
      <c r="B7" s="15">
        <f t="shared" si="0"/>
        <v>11.193154984234598</v>
      </c>
      <c r="I7" s="17"/>
    </row>
    <row r="8" spans="1:10" x14ac:dyDescent="0.3">
      <c r="A8" s="3">
        <v>1.1330499999999999</v>
      </c>
      <c r="B8" s="15">
        <f t="shared" si="0"/>
        <v>11.170550035821798</v>
      </c>
      <c r="I8" s="17"/>
    </row>
    <row r="9" spans="1:10" x14ac:dyDescent="0.3">
      <c r="A9" s="3">
        <v>1.13697</v>
      </c>
      <c r="B9" s="15">
        <f t="shared" si="0"/>
        <v>11.144362261946599</v>
      </c>
      <c r="I9" s="17"/>
    </row>
    <row r="10" spans="1:10" x14ac:dyDescent="0.3">
      <c r="A10" s="3">
        <v>1.7641899999999999</v>
      </c>
      <c r="B10" s="15">
        <f t="shared" si="0"/>
        <v>7.3500484616233965</v>
      </c>
      <c r="I10" s="17"/>
    </row>
    <row r="11" spans="1:10" x14ac:dyDescent="0.3">
      <c r="A11" s="3">
        <v>2.0169899999999998</v>
      </c>
      <c r="B11" s="15">
        <f t="shared" si="0"/>
        <v>6.0432255168553981</v>
      </c>
      <c r="I11" s="17" t="s">
        <v>31</v>
      </c>
      <c r="J11">
        <f>ABS(A51-A2)</f>
        <v>13.73493</v>
      </c>
    </row>
    <row r="12" spans="1:10" x14ac:dyDescent="0.3">
      <c r="A12" s="3">
        <v>2.0230700000000001</v>
      </c>
      <c r="B12" s="15">
        <f t="shared" si="0"/>
        <v>6.0133695883305966</v>
      </c>
      <c r="I12" s="17" t="s">
        <v>10</v>
      </c>
      <c r="J12">
        <f>J11/6</f>
        <v>2.2891550000000001</v>
      </c>
    </row>
    <row r="13" spans="1:10" x14ac:dyDescent="0.3">
      <c r="A13" s="3">
        <v>2.1659299999999999</v>
      </c>
      <c r="B13" s="15">
        <f t="shared" si="0"/>
        <v>5.3331310466889983</v>
      </c>
      <c r="I13" s="17"/>
    </row>
    <row r="14" spans="1:10" x14ac:dyDescent="0.3">
      <c r="A14" s="3">
        <v>2.1817000000000002</v>
      </c>
      <c r="B14" s="15">
        <f t="shared" si="0"/>
        <v>5.2605426109777973</v>
      </c>
      <c r="J14">
        <f>2.29-J12</f>
        <v>8.4499999999998465E-4</v>
      </c>
    </row>
    <row r="15" spans="1:10" x14ac:dyDescent="0.3">
      <c r="A15" s="3">
        <v>2.3341400000000001</v>
      </c>
      <c r="B15" s="15">
        <f t="shared" si="0"/>
        <v>4.584511674651397</v>
      </c>
      <c r="J15">
        <f>J14/2</f>
        <v>4.2249999999999233E-4</v>
      </c>
    </row>
    <row r="16" spans="1:10" x14ac:dyDescent="0.3">
      <c r="A16" s="3">
        <v>2.3625500000000001</v>
      </c>
      <c r="B16" s="15">
        <f t="shared" si="0"/>
        <v>4.4636588143017972</v>
      </c>
    </row>
    <row r="17" spans="1:10" x14ac:dyDescent="0.3">
      <c r="A17" s="3">
        <v>2.7207699999999999</v>
      </c>
      <c r="B17" s="15">
        <f t="shared" si="0"/>
        <v>3.0783308858185983</v>
      </c>
    </row>
    <row r="18" spans="1:10" x14ac:dyDescent="0.3">
      <c r="A18" s="3">
        <v>2.7465700000000002</v>
      </c>
      <c r="B18" s="15">
        <f t="shared" si="0"/>
        <v>2.9884634341705971</v>
      </c>
      <c r="D18" s="12" t="s">
        <v>12</v>
      </c>
      <c r="E18" s="12"/>
      <c r="F18" s="10" t="s">
        <v>13</v>
      </c>
      <c r="G18" s="10" t="s">
        <v>14</v>
      </c>
      <c r="H18" s="10" t="s">
        <v>15</v>
      </c>
      <c r="I18" s="10" t="s">
        <v>16</v>
      </c>
      <c r="J18" s="10" t="s">
        <v>17</v>
      </c>
    </row>
    <row r="19" spans="1:10" x14ac:dyDescent="0.3">
      <c r="A19" s="3">
        <v>2.7725499999999998</v>
      </c>
      <c r="B19" s="15">
        <f t="shared" si="0"/>
        <v>2.8993142447017983</v>
      </c>
      <c r="D19" s="5">
        <f>A2-J15</f>
        <v>-1.5164525</v>
      </c>
      <c r="E19" s="5">
        <f>D19+$J$12</f>
        <v>0.77270250000000007</v>
      </c>
      <c r="F19" s="5"/>
      <c r="G19" s="5"/>
      <c r="H19" s="5"/>
      <c r="I19" s="5"/>
      <c r="J19" s="5"/>
    </row>
    <row r="20" spans="1:10" x14ac:dyDescent="0.3">
      <c r="A20" s="3">
        <v>2.7852100000000002</v>
      </c>
      <c r="B20" s="15">
        <f t="shared" si="0"/>
        <v>2.8563612123721973</v>
      </c>
      <c r="D20" s="5">
        <f>E19</f>
        <v>0.77270250000000007</v>
      </c>
      <c r="E20" s="5">
        <f>D20+$J$12</f>
        <v>3.0618575000000003</v>
      </c>
      <c r="F20" s="5"/>
      <c r="G20" s="5"/>
      <c r="H20" s="5"/>
      <c r="I20" s="5"/>
      <c r="J20" s="5"/>
    </row>
    <row r="21" spans="1:10" x14ac:dyDescent="0.3">
      <c r="A21" s="3">
        <v>2.8486600000000002</v>
      </c>
      <c r="B21" s="15">
        <f t="shared" si="0"/>
        <v>2.6459163080401975</v>
      </c>
      <c r="D21" s="5">
        <f t="shared" ref="D21:D24" si="1">E20</f>
        <v>3.0618575000000003</v>
      </c>
      <c r="E21" s="5">
        <f t="shared" ref="E21:E24" si="2">D21+$J$12</f>
        <v>5.3510125000000004</v>
      </c>
      <c r="F21" s="5"/>
      <c r="G21" s="5"/>
      <c r="H21" s="5"/>
      <c r="I21" s="5"/>
      <c r="J21" s="5"/>
    </row>
    <row r="22" spans="1:10" x14ac:dyDescent="0.3">
      <c r="A22" s="3">
        <v>2.8535900000000001</v>
      </c>
      <c r="B22" s="15">
        <f t="shared" si="0"/>
        <v>2.6299020679593976</v>
      </c>
      <c r="D22" s="5">
        <f t="shared" si="1"/>
        <v>5.3510125000000004</v>
      </c>
      <c r="E22" s="5">
        <f t="shared" si="2"/>
        <v>7.6401675000000004</v>
      </c>
      <c r="F22" s="5"/>
      <c r="G22" s="5"/>
      <c r="H22" s="5"/>
      <c r="I22" s="5"/>
      <c r="J22" s="5"/>
    </row>
    <row r="23" spans="1:10" x14ac:dyDescent="0.3">
      <c r="A23" s="3">
        <v>2.9275000000000002</v>
      </c>
      <c r="B23" s="15">
        <f t="shared" si="0"/>
        <v>2.3956454641297973</v>
      </c>
      <c r="D23" s="5">
        <f t="shared" si="1"/>
        <v>7.6401675000000004</v>
      </c>
      <c r="E23" s="5">
        <f t="shared" si="2"/>
        <v>9.9293225000000014</v>
      </c>
      <c r="F23" s="5"/>
      <c r="G23" s="5"/>
      <c r="H23" s="5"/>
      <c r="I23" s="5"/>
      <c r="J23" s="5"/>
    </row>
    <row r="24" spans="1:10" x14ac:dyDescent="0.3">
      <c r="A24" s="3">
        <v>3.2783500000000001</v>
      </c>
      <c r="B24" s="15">
        <f t="shared" si="0"/>
        <v>1.4326588522537977</v>
      </c>
      <c r="D24" s="5">
        <f t="shared" si="1"/>
        <v>9.9293225000000014</v>
      </c>
      <c r="E24" s="5">
        <f t="shared" si="2"/>
        <v>12.218477500000002</v>
      </c>
      <c r="F24" s="5"/>
      <c r="G24" s="5"/>
      <c r="H24" s="5"/>
      <c r="I24" s="5"/>
      <c r="J24" s="5"/>
    </row>
    <row r="25" spans="1:10" x14ac:dyDescent="0.3">
      <c r="A25" s="3">
        <v>4.0541200000000002</v>
      </c>
      <c r="B25" s="15">
        <f t="shared" si="0"/>
        <v>0.17738187774259814</v>
      </c>
      <c r="D25" s="13" t="s">
        <v>18</v>
      </c>
      <c r="E25" s="14"/>
      <c r="F25" s="5"/>
      <c r="G25" s="5"/>
      <c r="H25" s="5"/>
      <c r="I25" s="5"/>
      <c r="J25" s="5"/>
    </row>
    <row r="26" spans="1:10" x14ac:dyDescent="0.3">
      <c r="A26" s="3">
        <v>4.09626</v>
      </c>
      <c r="B26" s="15">
        <f t="shared" si="0"/>
        <v>0.14366167898419829</v>
      </c>
    </row>
    <row r="27" spans="1:10" x14ac:dyDescent="0.3">
      <c r="A27" s="3">
        <v>4.67936</v>
      </c>
      <c r="B27" s="15">
        <f t="shared" si="0"/>
        <v>4.1645675048198438E-2</v>
      </c>
    </row>
    <row r="28" spans="1:10" x14ac:dyDescent="0.3">
      <c r="A28" s="3">
        <v>4.7182700000000004</v>
      </c>
      <c r="B28" s="15">
        <f t="shared" si="0"/>
        <v>5.9040602218598665E-2</v>
      </c>
    </row>
    <row r="29" spans="1:10" x14ac:dyDescent="0.3">
      <c r="A29" s="3">
        <v>4.7862299999999998</v>
      </c>
      <c r="B29" s="15">
        <f t="shared" si="0"/>
        <v>9.668537512099834E-2</v>
      </c>
    </row>
    <row r="30" spans="1:10" x14ac:dyDescent="0.3">
      <c r="A30" s="3">
        <v>4.7862799999999996</v>
      </c>
      <c r="B30" s="15">
        <f t="shared" si="0"/>
        <v>9.6716471892998257E-2</v>
      </c>
    </row>
    <row r="31" spans="1:10" x14ac:dyDescent="0.3">
      <c r="A31" s="3">
        <v>5.0236499999999999</v>
      </c>
      <c r="B31" s="15">
        <f t="shared" si="0"/>
        <v>0.3007016726857985</v>
      </c>
    </row>
    <row r="32" spans="1:10" x14ac:dyDescent="0.3">
      <c r="A32" s="3">
        <v>5.0792099999999998</v>
      </c>
      <c r="B32" s="15">
        <f t="shared" si="0"/>
        <v>0.36472265173219831</v>
      </c>
    </row>
    <row r="33" spans="1:2" x14ac:dyDescent="0.3">
      <c r="A33" s="3">
        <v>5.1363300000000001</v>
      </c>
      <c r="B33" s="15">
        <f t="shared" si="0"/>
        <v>0.43697747766499867</v>
      </c>
    </row>
    <row r="34" spans="1:2" x14ac:dyDescent="0.3">
      <c r="A34" s="3">
        <v>5.1470700000000003</v>
      </c>
      <c r="B34" s="15">
        <f t="shared" si="0"/>
        <v>0.45129202289059894</v>
      </c>
    </row>
    <row r="35" spans="1:2" x14ac:dyDescent="0.3">
      <c r="A35" s="3">
        <v>5.2546600000000003</v>
      </c>
      <c r="B35" s="15">
        <f t="shared" si="0"/>
        <v>0.60742183668019911</v>
      </c>
    </row>
    <row r="36" spans="1:2" x14ac:dyDescent="0.3">
      <c r="A36" s="3">
        <v>5.5770600000000004</v>
      </c>
      <c r="B36" s="15">
        <f t="shared" si="0"/>
        <v>1.2139031265361995</v>
      </c>
    </row>
    <row r="37" spans="1:2" x14ac:dyDescent="0.3">
      <c r="A37" s="3">
        <v>6.1454000000000004</v>
      </c>
      <c r="B37" s="15">
        <f t="shared" si="0"/>
        <v>2.7892764975058002</v>
      </c>
    </row>
    <row r="38" spans="1:2" x14ac:dyDescent="0.3">
      <c r="A38" s="3">
        <v>6.2996100000000004</v>
      </c>
      <c r="B38" s="15">
        <f t="shared" si="0"/>
        <v>3.3281533867082</v>
      </c>
    </row>
    <row r="39" spans="1:2" x14ac:dyDescent="0.3">
      <c r="A39" s="3">
        <v>6.3081500000000004</v>
      </c>
      <c r="B39" s="15">
        <f t="shared" si="0"/>
        <v>3.3593857503658002</v>
      </c>
    </row>
    <row r="40" spans="1:2" x14ac:dyDescent="0.3">
      <c r="A40" s="3">
        <v>6.6862700000000004</v>
      </c>
      <c r="B40" s="15">
        <f t="shared" si="0"/>
        <v>4.8884445881386007</v>
      </c>
    </row>
    <row r="41" spans="1:2" x14ac:dyDescent="0.3">
      <c r="A41" s="3">
        <v>7.05016</v>
      </c>
      <c r="B41" s="15">
        <f t="shared" si="0"/>
        <v>6.6299695242001988</v>
      </c>
    </row>
    <row r="42" spans="1:2" x14ac:dyDescent="0.3">
      <c r="A42" s="3">
        <v>7.3078500000000002</v>
      </c>
      <c r="B42" s="15">
        <f t="shared" si="0"/>
        <v>8.0234115627338003</v>
      </c>
    </row>
    <row r="43" spans="1:2" x14ac:dyDescent="0.3">
      <c r="A43" s="3">
        <v>7.3238899999999996</v>
      </c>
      <c r="B43" s="15">
        <f t="shared" si="0"/>
        <v>8.1145374563913961</v>
      </c>
    </row>
    <row r="44" spans="1:2" x14ac:dyDescent="0.3">
      <c r="A44" s="3">
        <v>7.6174799999999996</v>
      </c>
      <c r="B44" s="15">
        <f t="shared" si="0"/>
        <v>9.8733750896209962</v>
      </c>
    </row>
    <row r="45" spans="1:2" x14ac:dyDescent="0.3">
      <c r="A45" s="3">
        <v>8.4246800000000004</v>
      </c>
      <c r="B45" s="15">
        <f t="shared" si="0"/>
        <v>15.597702856789002</v>
      </c>
    </row>
    <row r="46" spans="1:2" x14ac:dyDescent="0.3">
      <c r="A46" s="3">
        <v>8.7911699999999993</v>
      </c>
      <c r="B46" s="15">
        <f t="shared" si="0"/>
        <v>18.626843652794594</v>
      </c>
    </row>
    <row r="47" spans="1:2" x14ac:dyDescent="0.3">
      <c r="A47" s="3">
        <v>9.3262300000000007</v>
      </c>
      <c r="B47" s="15">
        <f t="shared" si="0"/>
        <v>23.531645272721008</v>
      </c>
    </row>
    <row r="48" spans="1:2" x14ac:dyDescent="0.3">
      <c r="A48" s="3">
        <v>9.4604800000000004</v>
      </c>
      <c r="B48" s="15">
        <f t="shared" si="0"/>
        <v>24.852146455541003</v>
      </c>
    </row>
    <row r="49" spans="1:2" x14ac:dyDescent="0.3">
      <c r="A49" s="3">
        <v>10.263999999999999</v>
      </c>
      <c r="B49" s="15">
        <f t="shared" si="0"/>
        <v>33.509194954689789</v>
      </c>
    </row>
    <row r="50" spans="1:2" x14ac:dyDescent="0.3">
      <c r="A50" s="3">
        <v>10.639849999999999</v>
      </c>
      <c r="B50" s="15">
        <f t="shared" si="0"/>
        <v>38.001833528813791</v>
      </c>
    </row>
    <row r="51" spans="1:2" x14ac:dyDescent="0.3">
      <c r="A51" s="3">
        <v>12.2189</v>
      </c>
      <c r="B51" s="15">
        <f t="shared" si="0"/>
        <v>59.963537957345793</v>
      </c>
    </row>
  </sheetData>
  <sortState xmlns:xlrd2="http://schemas.microsoft.com/office/spreadsheetml/2017/richdata2" ref="A2:A51">
    <sortCondition ref="A2:A51"/>
  </sortState>
  <mergeCells count="2">
    <mergeCell ref="D18:E18"/>
    <mergeCell ref="D25:E2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4492-CD79-4862-83A7-C237BA321E89}">
  <dimension ref="A1:Q51"/>
  <sheetViews>
    <sheetView topLeftCell="B1" zoomScaleNormal="100" workbookViewId="0">
      <selection activeCell="I18" sqref="I18"/>
    </sheetView>
  </sheetViews>
  <sheetFormatPr defaultRowHeight="14.4" x14ac:dyDescent="0.3"/>
  <cols>
    <col min="1" max="1" width="16.77734375" customWidth="1"/>
    <col min="2" max="3" width="8.88671875" customWidth="1"/>
    <col min="4" max="4" width="20.44140625" customWidth="1"/>
    <col min="5" max="5" width="8.88671875" customWidth="1"/>
    <col min="6" max="6" width="22.77734375" customWidth="1"/>
    <col min="9" max="9" width="9.5546875" customWidth="1"/>
    <col min="12" max="12" width="21.5546875" customWidth="1"/>
  </cols>
  <sheetData>
    <row r="1" spans="1:17" x14ac:dyDescent="0.3">
      <c r="A1" s="11" t="s">
        <v>0</v>
      </c>
      <c r="B1" s="1"/>
      <c r="C1" s="2"/>
      <c r="D1" s="2"/>
      <c r="E1" s="2"/>
      <c r="F1" s="1"/>
      <c r="G1" s="2"/>
      <c r="H1" s="2"/>
      <c r="I1" s="2"/>
      <c r="J1" s="2"/>
      <c r="K1" s="1"/>
      <c r="L1" s="9">
        <v>1.0218100000000001</v>
      </c>
      <c r="M1" s="9">
        <v>1.3441099999999999</v>
      </c>
      <c r="N1" s="9">
        <v>1.7806299999999999</v>
      </c>
      <c r="O1" s="9">
        <v>2.0126400000000002</v>
      </c>
      <c r="P1" s="9">
        <v>2.4147799999999999</v>
      </c>
      <c r="Q1" s="9">
        <v>2.65469</v>
      </c>
    </row>
    <row r="2" spans="1:17" ht="27" x14ac:dyDescent="0.3">
      <c r="A2" s="9">
        <v>1.0218100000000001</v>
      </c>
      <c r="B2" s="3"/>
      <c r="C2" s="2"/>
      <c r="D2" s="4" t="s">
        <v>6</v>
      </c>
      <c r="E2" s="5">
        <f>A2</f>
        <v>1.0218100000000001</v>
      </c>
      <c r="F2" s="5"/>
      <c r="G2" s="2"/>
      <c r="H2" s="2"/>
      <c r="I2" s="2"/>
      <c r="J2" s="2"/>
      <c r="K2" s="3"/>
      <c r="L2" s="9">
        <v>1.18757</v>
      </c>
      <c r="M2" s="9">
        <v>1.3559600000000001</v>
      </c>
      <c r="N2" s="9">
        <v>1.7948599999999999</v>
      </c>
      <c r="O2" s="9">
        <v>2.0194589999999999</v>
      </c>
      <c r="P2" s="9">
        <v>2.4552399999999999</v>
      </c>
      <c r="Q2" s="9">
        <v>2.6832699999999998</v>
      </c>
    </row>
    <row r="3" spans="1:17" ht="27" x14ac:dyDescent="0.3">
      <c r="A3" s="9">
        <v>1.18757</v>
      </c>
      <c r="B3" s="3"/>
      <c r="C3" s="2"/>
      <c r="D3" s="4" t="s">
        <v>7</v>
      </c>
      <c r="E3" s="5">
        <f>A51</f>
        <v>2.9272100000000001</v>
      </c>
      <c r="F3" s="5"/>
      <c r="G3" s="2"/>
      <c r="H3" s="2"/>
      <c r="I3" s="2"/>
      <c r="J3" s="2"/>
      <c r="K3" s="3"/>
      <c r="L3" s="9">
        <v>1.22424</v>
      </c>
      <c r="M3" s="9">
        <v>1.35772</v>
      </c>
      <c r="N3" s="9">
        <v>1.82836</v>
      </c>
      <c r="O3" s="9">
        <v>2.03674</v>
      </c>
      <c r="P3" s="9">
        <v>2.4561500000000001</v>
      </c>
      <c r="Q3" s="9">
        <v>2.69475</v>
      </c>
    </row>
    <row r="4" spans="1:17" x14ac:dyDescent="0.3">
      <c r="A4" s="9">
        <v>1.22424</v>
      </c>
      <c r="B4" s="3"/>
      <c r="C4" s="2"/>
      <c r="D4" s="4" t="s">
        <v>8</v>
      </c>
      <c r="E4" s="5">
        <f>E3-E2</f>
        <v>1.9054</v>
      </c>
      <c r="F4" s="5"/>
      <c r="G4" s="2"/>
      <c r="H4" s="2"/>
      <c r="I4" s="2"/>
      <c r="J4" s="2"/>
      <c r="K4" s="3"/>
      <c r="L4" s="9">
        <v>1.23054</v>
      </c>
      <c r="M4" s="9">
        <v>1.37456</v>
      </c>
      <c r="N4" s="9">
        <v>1.8548500000000001</v>
      </c>
      <c r="O4" s="9">
        <v>2.0678200000000002</v>
      </c>
      <c r="P4" s="9">
        <v>2.46258</v>
      </c>
      <c r="Q4" s="9">
        <v>2.72661</v>
      </c>
    </row>
    <row r="5" spans="1:17" ht="27" x14ac:dyDescent="0.3">
      <c r="A5" s="9">
        <v>1.23054</v>
      </c>
      <c r="B5" s="3"/>
      <c r="C5" s="2"/>
      <c r="D5" s="4" t="s">
        <v>9</v>
      </c>
      <c r="E5" s="5">
        <f>1+3.322*LOG(50,10)</f>
        <v>6.6439783544042532</v>
      </c>
      <c r="F5" s="5">
        <v>6</v>
      </c>
      <c r="G5" s="2"/>
      <c r="H5" s="2"/>
      <c r="I5" s="2"/>
      <c r="J5" s="2"/>
      <c r="K5" s="3"/>
      <c r="L5" s="9">
        <v>1.2317800000000001</v>
      </c>
      <c r="M5" s="9">
        <v>1.4418800000000001</v>
      </c>
      <c r="N5" s="9">
        <v>1.88008</v>
      </c>
      <c r="O5" s="9">
        <v>2.0776699999999999</v>
      </c>
      <c r="P5" s="9">
        <v>2.5245600000000001</v>
      </c>
      <c r="Q5" s="9">
        <v>2.7359800000000001</v>
      </c>
    </row>
    <row r="6" spans="1:17" x14ac:dyDescent="0.3">
      <c r="A6" s="9">
        <v>1.2317800000000001</v>
      </c>
      <c r="B6" s="3"/>
      <c r="C6" s="2"/>
      <c r="D6" s="4" t="s">
        <v>10</v>
      </c>
      <c r="E6" s="5">
        <f>E4/6</f>
        <v>0.31756666666666666</v>
      </c>
      <c r="F6" s="5">
        <v>0.32</v>
      </c>
      <c r="G6" s="2"/>
      <c r="H6" s="2"/>
      <c r="I6" s="2"/>
      <c r="J6" s="2"/>
      <c r="K6" s="3"/>
      <c r="L6" s="9">
        <v>1.2373099999999999</v>
      </c>
      <c r="M6" s="9">
        <v>1.45451</v>
      </c>
      <c r="N6" s="9">
        <v>1.9734700000000001</v>
      </c>
      <c r="O6" s="9">
        <v>2.08955</v>
      </c>
      <c r="Q6" s="9">
        <v>2.7911600000000001</v>
      </c>
    </row>
    <row r="7" spans="1:17" x14ac:dyDescent="0.3">
      <c r="A7" s="9">
        <v>1.2373099999999999</v>
      </c>
      <c r="B7" s="3"/>
      <c r="C7" s="2"/>
      <c r="D7" s="5" t="s">
        <v>11</v>
      </c>
      <c r="E7" s="5">
        <f>F6-E6</f>
        <v>2.4333333333333429E-3</v>
      </c>
      <c r="F7" s="5">
        <f>E7*6</f>
        <v>1.4600000000000057E-2</v>
      </c>
      <c r="G7" s="2">
        <f>F7/2</f>
        <v>7.3000000000000287E-3</v>
      </c>
      <c r="H7" s="2"/>
      <c r="I7" s="2"/>
      <c r="J7" s="2"/>
      <c r="K7" s="3"/>
      <c r="L7" s="9">
        <v>1.2444299999999999</v>
      </c>
      <c r="M7" s="9">
        <v>1.5619799999999999</v>
      </c>
      <c r="O7" s="9">
        <v>2.1318899999999998</v>
      </c>
      <c r="Q7" s="9">
        <v>2.80681</v>
      </c>
    </row>
    <row r="8" spans="1:17" x14ac:dyDescent="0.3">
      <c r="A8" s="9">
        <v>1.2444299999999999</v>
      </c>
      <c r="B8" s="3"/>
      <c r="C8" s="2"/>
      <c r="D8" s="2"/>
      <c r="E8" s="2"/>
      <c r="F8" s="3"/>
      <c r="G8" s="2"/>
      <c r="H8" s="2"/>
      <c r="I8" s="2"/>
      <c r="J8" s="2"/>
      <c r="K8" s="3"/>
      <c r="L8" s="9">
        <v>1.26769</v>
      </c>
      <c r="M8" s="9">
        <v>1.62961</v>
      </c>
      <c r="O8" s="9">
        <v>2.24743</v>
      </c>
      <c r="Q8" s="9">
        <v>2.8380100000000001</v>
      </c>
    </row>
    <row r="9" spans="1:17" x14ac:dyDescent="0.3">
      <c r="A9" s="9">
        <v>1.26769</v>
      </c>
      <c r="B9" s="3"/>
      <c r="C9" s="2"/>
      <c r="D9" s="2"/>
      <c r="E9" s="2"/>
      <c r="F9" s="3"/>
      <c r="G9" s="2"/>
      <c r="H9" s="2"/>
      <c r="I9" s="2"/>
      <c r="J9" s="2"/>
      <c r="K9" s="3"/>
      <c r="L9" s="9">
        <v>1.29125</v>
      </c>
      <c r="O9" s="9">
        <v>2.2817099999999999</v>
      </c>
      <c r="Q9" s="9">
        <v>2.8650799999999998</v>
      </c>
    </row>
    <row r="10" spans="1:17" x14ac:dyDescent="0.3">
      <c r="A10" s="9">
        <v>1.29125</v>
      </c>
      <c r="B10" s="3"/>
      <c r="C10" s="2"/>
      <c r="D10" s="2"/>
      <c r="E10" s="2"/>
      <c r="F10" s="3"/>
      <c r="G10" s="2"/>
      <c r="H10" s="2"/>
      <c r="I10" s="2"/>
      <c r="J10" s="2"/>
      <c r="K10" s="3"/>
      <c r="L10" s="9">
        <v>1.2929900000000001</v>
      </c>
      <c r="Q10" s="9">
        <v>2.9084699999999999</v>
      </c>
    </row>
    <row r="11" spans="1:17" x14ac:dyDescent="0.3">
      <c r="A11" s="9">
        <v>1.2929900000000001</v>
      </c>
      <c r="B11" s="3"/>
      <c r="C11" s="2"/>
      <c r="D11" s="12" t="s">
        <v>12</v>
      </c>
      <c r="E11" s="12"/>
      <c r="F11" s="4" t="s">
        <v>13</v>
      </c>
      <c r="G11" s="4" t="s">
        <v>14</v>
      </c>
      <c r="H11" s="4" t="s">
        <v>15</v>
      </c>
      <c r="I11" s="4" t="s">
        <v>16</v>
      </c>
      <c r="J11" s="4" t="s">
        <v>17</v>
      </c>
      <c r="K11" s="3"/>
      <c r="L11" s="9">
        <v>1.3166599999999999</v>
      </c>
      <c r="Q11" s="9">
        <v>2.9272100000000001</v>
      </c>
    </row>
    <row r="12" spans="1:17" x14ac:dyDescent="0.3">
      <c r="A12" s="9">
        <v>1.3166599999999999</v>
      </c>
      <c r="B12" s="3"/>
      <c r="C12" s="2"/>
      <c r="D12" s="5">
        <f>E2-G7</f>
        <v>1.01451</v>
      </c>
      <c r="E12" s="5">
        <f>D12+$F$6</f>
        <v>1.3345100000000001</v>
      </c>
      <c r="F12" s="5">
        <f>(D12+E12)/2</f>
        <v>1.1745100000000002</v>
      </c>
      <c r="G12" s="5">
        <v>11</v>
      </c>
      <c r="H12" s="5">
        <f>G12/$G$18</f>
        <v>0.22</v>
      </c>
      <c r="I12" s="5">
        <f>H12/$F$6</f>
        <v>0.6875</v>
      </c>
      <c r="J12" s="5">
        <f>H12</f>
        <v>0.22</v>
      </c>
      <c r="K12" s="3"/>
      <c r="L12" s="9"/>
    </row>
    <row r="13" spans="1:17" x14ac:dyDescent="0.3">
      <c r="A13" s="9">
        <v>1.3441099999999999</v>
      </c>
      <c r="B13" s="3"/>
      <c r="C13" s="2"/>
      <c r="D13" s="5">
        <f>E12</f>
        <v>1.3345100000000001</v>
      </c>
      <c r="E13" s="5">
        <f>D13+$F$6</f>
        <v>1.6545100000000001</v>
      </c>
      <c r="F13" s="5">
        <f t="shared" ref="F13:F17" si="0">(D13+E13)/2</f>
        <v>1.49451</v>
      </c>
      <c r="G13" s="5">
        <v>8</v>
      </c>
      <c r="H13" s="5">
        <f t="shared" ref="H13:H17" si="1">G13/$G$18</f>
        <v>0.16</v>
      </c>
      <c r="I13" s="5">
        <f t="shared" ref="I13:I17" si="2">H13/$F$6</f>
        <v>0.5</v>
      </c>
      <c r="J13" s="5">
        <f>J12+H13</f>
        <v>0.38</v>
      </c>
      <c r="K13" s="3"/>
      <c r="L13" s="9"/>
    </row>
    <row r="14" spans="1:17" x14ac:dyDescent="0.3">
      <c r="A14" s="9">
        <v>1.3559600000000001</v>
      </c>
      <c r="B14" s="3"/>
      <c r="C14" s="2"/>
      <c r="D14" s="5">
        <f t="shared" ref="D14:D17" si="3">E13</f>
        <v>1.6545100000000001</v>
      </c>
      <c r="E14" s="5">
        <f t="shared" ref="E14:E17" si="4">D14+$F$6</f>
        <v>1.9745100000000002</v>
      </c>
      <c r="F14" s="5">
        <f t="shared" si="0"/>
        <v>1.8145100000000003</v>
      </c>
      <c r="G14" s="5">
        <v>6</v>
      </c>
      <c r="H14" s="5">
        <f t="shared" si="1"/>
        <v>0.12</v>
      </c>
      <c r="I14" s="5">
        <f t="shared" si="2"/>
        <v>0.375</v>
      </c>
      <c r="J14" s="5">
        <f t="shared" ref="J14:J18" si="5">J13+H14</f>
        <v>0.5</v>
      </c>
      <c r="K14" s="3"/>
      <c r="L14" s="9"/>
    </row>
    <row r="15" spans="1:17" x14ac:dyDescent="0.3">
      <c r="A15" s="9">
        <v>1.35772</v>
      </c>
      <c r="B15" s="3"/>
      <c r="C15" s="2"/>
      <c r="D15" s="5">
        <f t="shared" si="3"/>
        <v>1.9745100000000002</v>
      </c>
      <c r="E15" s="5">
        <f t="shared" si="4"/>
        <v>2.2945100000000003</v>
      </c>
      <c r="F15" s="5">
        <f t="shared" si="0"/>
        <v>2.1345100000000001</v>
      </c>
      <c r="G15" s="5">
        <v>9</v>
      </c>
      <c r="H15" s="5">
        <f t="shared" si="1"/>
        <v>0.18</v>
      </c>
      <c r="I15" s="5">
        <f t="shared" si="2"/>
        <v>0.5625</v>
      </c>
      <c r="J15" s="5">
        <f t="shared" si="5"/>
        <v>0.67999999999999994</v>
      </c>
      <c r="K15" s="3"/>
      <c r="L15" s="9"/>
    </row>
    <row r="16" spans="1:17" x14ac:dyDescent="0.3">
      <c r="A16" s="9">
        <v>1.37456</v>
      </c>
      <c r="B16" s="3"/>
      <c r="C16" s="2"/>
      <c r="D16" s="5">
        <f t="shared" si="3"/>
        <v>2.2945100000000003</v>
      </c>
      <c r="E16" s="5">
        <f t="shared" si="4"/>
        <v>2.6145100000000001</v>
      </c>
      <c r="F16" s="5">
        <f t="shared" si="0"/>
        <v>2.45451</v>
      </c>
      <c r="G16" s="5">
        <v>5</v>
      </c>
      <c r="H16" s="5">
        <f t="shared" si="1"/>
        <v>0.1</v>
      </c>
      <c r="I16" s="5">
        <f t="shared" si="2"/>
        <v>0.3125</v>
      </c>
      <c r="J16" s="5">
        <f t="shared" si="5"/>
        <v>0.77999999999999992</v>
      </c>
      <c r="K16" s="3"/>
      <c r="L16" s="9"/>
    </row>
    <row r="17" spans="1:12" x14ac:dyDescent="0.3">
      <c r="A17" s="9">
        <v>1.4418800000000001</v>
      </c>
      <c r="B17" s="3"/>
      <c r="C17" s="2"/>
      <c r="D17" s="5">
        <f t="shared" si="3"/>
        <v>2.6145100000000001</v>
      </c>
      <c r="E17" s="5">
        <f t="shared" si="4"/>
        <v>2.93451</v>
      </c>
      <c r="F17" s="5">
        <f t="shared" si="0"/>
        <v>2.7745100000000003</v>
      </c>
      <c r="G17" s="5">
        <v>11</v>
      </c>
      <c r="H17" s="5">
        <f t="shared" si="1"/>
        <v>0.22</v>
      </c>
      <c r="I17" s="5">
        <f t="shared" si="2"/>
        <v>0.6875</v>
      </c>
      <c r="J17" s="5">
        <f t="shared" si="5"/>
        <v>0.99999999999999989</v>
      </c>
      <c r="K17" s="3"/>
      <c r="L17" s="9"/>
    </row>
    <row r="18" spans="1:12" x14ac:dyDescent="0.3">
      <c r="A18" s="9">
        <v>1.45451</v>
      </c>
      <c r="B18" s="3"/>
      <c r="C18" s="2"/>
      <c r="D18" s="13" t="s">
        <v>18</v>
      </c>
      <c r="E18" s="14"/>
      <c r="F18" s="5"/>
      <c r="G18" s="5">
        <f>SUM(G12:G17)</f>
        <v>50</v>
      </c>
      <c r="H18" s="5">
        <f>SUM(H12:H17)</f>
        <v>0.99999999999999989</v>
      </c>
      <c r="I18" s="5"/>
      <c r="J18" s="5"/>
      <c r="K18" s="3"/>
      <c r="L18" s="9"/>
    </row>
    <row r="19" spans="1:12" x14ac:dyDescent="0.3">
      <c r="A19" s="9">
        <v>1.5619799999999999</v>
      </c>
      <c r="B19" s="3"/>
      <c r="C19" s="2"/>
      <c r="D19" s="2"/>
      <c r="E19" s="2"/>
      <c r="F19" s="3"/>
      <c r="G19" s="2"/>
      <c r="H19" s="2"/>
      <c r="I19" s="2"/>
      <c r="J19" s="2"/>
      <c r="K19" s="3"/>
      <c r="L19" s="9"/>
    </row>
    <row r="20" spans="1:12" x14ac:dyDescent="0.3">
      <c r="A20" s="9">
        <v>1.62961</v>
      </c>
      <c r="B20" s="3"/>
      <c r="C20" s="2"/>
      <c r="D20" s="2"/>
      <c r="E20" s="2"/>
      <c r="F20" s="3"/>
      <c r="G20" s="2"/>
      <c r="H20" s="2"/>
      <c r="I20" s="2"/>
      <c r="J20" s="2"/>
      <c r="K20" s="3"/>
      <c r="L20" s="9"/>
    </row>
    <row r="21" spans="1:12" x14ac:dyDescent="0.3">
      <c r="A21" s="9">
        <v>1.7806299999999999</v>
      </c>
      <c r="B21" s="3"/>
      <c r="C21" s="2"/>
      <c r="D21" s="2"/>
      <c r="E21" s="2"/>
      <c r="F21" s="3"/>
      <c r="G21" s="2"/>
      <c r="H21" s="2"/>
      <c r="I21" s="2"/>
      <c r="J21" s="2"/>
      <c r="K21" s="3"/>
      <c r="L21" s="9"/>
    </row>
    <row r="22" spans="1:12" x14ac:dyDescent="0.3">
      <c r="A22" s="9">
        <v>1.7948599999999999</v>
      </c>
      <c r="B22" s="3"/>
      <c r="C22" s="2"/>
      <c r="D22" s="2"/>
      <c r="E22" s="2"/>
      <c r="F22" s="3"/>
      <c r="G22" s="2"/>
      <c r="H22" s="2"/>
      <c r="I22" s="2"/>
      <c r="J22" s="2"/>
      <c r="K22" s="3"/>
      <c r="L22" s="9"/>
    </row>
    <row r="23" spans="1:12" x14ac:dyDescent="0.3">
      <c r="A23" s="9">
        <v>1.82836</v>
      </c>
      <c r="B23" s="3"/>
      <c r="C23" s="2"/>
      <c r="D23" s="2"/>
      <c r="E23" s="2"/>
      <c r="F23" s="3"/>
      <c r="G23" s="2"/>
      <c r="H23" s="2"/>
      <c r="I23" s="2"/>
      <c r="J23" s="2"/>
      <c r="K23" s="3"/>
      <c r="L23" s="9"/>
    </row>
    <row r="24" spans="1:12" x14ac:dyDescent="0.3">
      <c r="A24" s="9">
        <v>1.8548500000000001</v>
      </c>
      <c r="B24" s="3"/>
      <c r="C24" s="2"/>
      <c r="D24" s="2"/>
      <c r="E24" s="2"/>
      <c r="F24" s="3"/>
      <c r="G24" s="2"/>
      <c r="H24" s="2"/>
      <c r="I24" s="2"/>
      <c r="J24" s="2"/>
      <c r="K24" s="3"/>
      <c r="L24" s="9"/>
    </row>
    <row r="25" spans="1:12" x14ac:dyDescent="0.3">
      <c r="A25" s="9">
        <v>1.88008</v>
      </c>
      <c r="B25" s="3"/>
      <c r="C25" s="2"/>
      <c r="D25" s="2"/>
      <c r="E25" s="2"/>
      <c r="F25" s="3"/>
      <c r="G25" s="2"/>
      <c r="H25" s="2"/>
      <c r="I25" s="2"/>
      <c r="J25" s="2"/>
      <c r="K25" s="3"/>
      <c r="L25" s="9"/>
    </row>
    <row r="26" spans="1:12" x14ac:dyDescent="0.3">
      <c r="A26" s="9">
        <v>1.9734700000000001</v>
      </c>
      <c r="B26" s="3"/>
      <c r="C26" s="2"/>
      <c r="D26" s="2"/>
      <c r="E26" s="2"/>
      <c r="F26" s="3"/>
      <c r="G26" s="2"/>
      <c r="H26" s="2"/>
      <c r="I26" s="2"/>
      <c r="J26" s="2"/>
      <c r="K26" s="3"/>
      <c r="L26" s="9"/>
    </row>
    <row r="27" spans="1:12" x14ac:dyDescent="0.3">
      <c r="A27" s="9">
        <v>2.0126400000000002</v>
      </c>
      <c r="B27" s="3"/>
      <c r="C27" s="2"/>
      <c r="D27" s="2"/>
      <c r="E27" s="2"/>
      <c r="F27" s="3"/>
      <c r="G27" s="2"/>
      <c r="H27" s="2"/>
      <c r="I27" s="2"/>
      <c r="J27" s="2"/>
      <c r="K27" s="3"/>
      <c r="L27" s="9"/>
    </row>
    <row r="28" spans="1:12" x14ac:dyDescent="0.3">
      <c r="A28" s="9">
        <v>2.0194589999999999</v>
      </c>
      <c r="B28" s="3"/>
      <c r="C28" s="2"/>
      <c r="D28" s="2"/>
      <c r="E28" s="2"/>
      <c r="F28" s="3"/>
      <c r="G28" s="2"/>
      <c r="H28" s="2"/>
      <c r="I28" s="2"/>
      <c r="J28" s="2"/>
      <c r="K28" s="3"/>
      <c r="L28" s="9"/>
    </row>
    <row r="29" spans="1:12" x14ac:dyDescent="0.3">
      <c r="A29" s="9">
        <v>2.03674</v>
      </c>
      <c r="B29" s="3"/>
      <c r="C29" s="2"/>
      <c r="D29" s="2"/>
      <c r="E29" s="2"/>
      <c r="F29" s="3"/>
      <c r="G29" s="2"/>
      <c r="H29" s="2"/>
      <c r="I29" s="2"/>
      <c r="J29" s="2"/>
      <c r="K29" s="3"/>
      <c r="L29" s="9"/>
    </row>
    <row r="30" spans="1:12" x14ac:dyDescent="0.3">
      <c r="A30" s="9">
        <v>2.0678200000000002</v>
      </c>
      <c r="B30" s="3"/>
      <c r="C30" s="2"/>
      <c r="D30" s="2"/>
      <c r="E30" s="2"/>
      <c r="F30" s="3"/>
      <c r="G30" s="2"/>
      <c r="H30" s="2"/>
      <c r="I30" s="2"/>
      <c r="J30" s="2"/>
      <c r="K30" s="3"/>
      <c r="L30" s="9"/>
    </row>
    <row r="31" spans="1:12" x14ac:dyDescent="0.3">
      <c r="A31" s="9">
        <v>2.0776699999999999</v>
      </c>
      <c r="B31" s="3"/>
      <c r="C31" s="2"/>
      <c r="D31" s="2"/>
      <c r="E31" s="2"/>
      <c r="F31" s="3"/>
      <c r="G31" s="2"/>
      <c r="H31" s="2"/>
      <c r="I31" s="2"/>
      <c r="J31" s="2"/>
      <c r="K31" s="3"/>
      <c r="L31" s="9"/>
    </row>
    <row r="32" spans="1:12" x14ac:dyDescent="0.3">
      <c r="A32" s="9">
        <v>2.08955</v>
      </c>
      <c r="B32" s="3"/>
      <c r="C32" s="2"/>
      <c r="D32" s="2"/>
      <c r="E32" s="2"/>
      <c r="F32" s="3"/>
      <c r="G32" s="2"/>
      <c r="H32" s="2"/>
      <c r="I32" s="2"/>
      <c r="J32" s="2"/>
      <c r="K32" s="3"/>
      <c r="L32" s="9"/>
    </row>
    <row r="33" spans="1:12" x14ac:dyDescent="0.3">
      <c r="A33" s="9">
        <v>2.1318899999999998</v>
      </c>
      <c r="B33" s="3"/>
      <c r="C33" s="2"/>
      <c r="D33" s="2"/>
      <c r="E33" s="2"/>
      <c r="F33" s="3"/>
      <c r="G33" s="2"/>
      <c r="H33" s="2"/>
      <c r="I33" s="2"/>
      <c r="J33" s="2"/>
      <c r="K33" s="3"/>
      <c r="L33" s="9"/>
    </row>
    <row r="34" spans="1:12" x14ac:dyDescent="0.3">
      <c r="A34" s="9">
        <v>2.24743</v>
      </c>
      <c r="B34" s="3"/>
      <c r="C34" s="2"/>
      <c r="D34" s="2"/>
      <c r="E34" s="2"/>
      <c r="F34" s="3"/>
      <c r="G34" s="2"/>
      <c r="H34" s="2"/>
      <c r="I34" s="2"/>
      <c r="J34" s="2"/>
      <c r="K34" s="3"/>
      <c r="L34" s="9"/>
    </row>
    <row r="35" spans="1:12" x14ac:dyDescent="0.3">
      <c r="A35" s="9">
        <v>2.2817099999999999</v>
      </c>
      <c r="B35" s="3"/>
      <c r="C35" s="2"/>
      <c r="D35" s="2"/>
      <c r="E35" s="2"/>
      <c r="F35" s="3"/>
      <c r="G35" s="2"/>
      <c r="H35" s="2"/>
      <c r="I35" s="2"/>
      <c r="J35" s="2"/>
      <c r="K35" s="3"/>
      <c r="L35" s="9"/>
    </row>
    <row r="36" spans="1:12" x14ac:dyDescent="0.3">
      <c r="A36" s="9">
        <v>2.4147799999999999</v>
      </c>
      <c r="B36" s="3"/>
      <c r="C36" s="2"/>
      <c r="D36" s="2"/>
      <c r="E36" s="2"/>
      <c r="F36" s="3"/>
      <c r="G36" s="2"/>
      <c r="H36" s="2"/>
      <c r="I36" s="2"/>
      <c r="J36" s="2"/>
      <c r="K36" s="3"/>
      <c r="L36" s="9"/>
    </row>
    <row r="37" spans="1:12" x14ac:dyDescent="0.3">
      <c r="A37" s="9">
        <v>2.4552399999999999</v>
      </c>
      <c r="B37" s="3"/>
      <c r="C37" s="2"/>
      <c r="D37" s="2"/>
      <c r="E37" s="2"/>
      <c r="F37" s="3"/>
      <c r="G37" s="2"/>
      <c r="H37" s="2"/>
      <c r="I37" s="2"/>
      <c r="J37" s="2"/>
      <c r="K37" s="3"/>
      <c r="L37" s="9"/>
    </row>
    <row r="38" spans="1:12" x14ac:dyDescent="0.3">
      <c r="A38" s="9">
        <v>2.4561500000000001</v>
      </c>
      <c r="B38" s="3"/>
      <c r="C38" s="2"/>
      <c r="D38" s="2"/>
      <c r="E38" s="2"/>
      <c r="F38" s="3"/>
      <c r="G38" s="2"/>
      <c r="H38" s="2"/>
      <c r="I38" s="2"/>
      <c r="J38" s="2"/>
      <c r="K38" s="3"/>
      <c r="L38" s="9"/>
    </row>
    <row r="39" spans="1:12" x14ac:dyDescent="0.3">
      <c r="A39" s="9">
        <v>2.46258</v>
      </c>
      <c r="B39" s="3"/>
      <c r="C39" s="2"/>
      <c r="D39" s="2"/>
      <c r="E39" s="2"/>
      <c r="F39" s="3"/>
      <c r="G39" s="2"/>
      <c r="H39" s="2"/>
      <c r="I39" s="2"/>
      <c r="J39" s="2"/>
      <c r="K39" s="3"/>
      <c r="L39" s="9"/>
    </row>
    <row r="40" spans="1:12" x14ac:dyDescent="0.3">
      <c r="A40" s="9">
        <v>2.5245600000000001</v>
      </c>
      <c r="B40" s="3"/>
      <c r="C40" s="2"/>
      <c r="D40" s="2"/>
      <c r="E40" s="2"/>
      <c r="F40" s="3"/>
      <c r="G40" s="2"/>
      <c r="H40" s="2"/>
      <c r="I40" s="2"/>
      <c r="J40" s="2"/>
      <c r="K40" s="3"/>
      <c r="L40" s="9"/>
    </row>
    <row r="41" spans="1:12" x14ac:dyDescent="0.3">
      <c r="A41" s="9">
        <v>2.65469</v>
      </c>
      <c r="B41" s="3"/>
      <c r="C41" s="2"/>
      <c r="D41" s="2"/>
      <c r="E41" s="2"/>
      <c r="F41" s="3"/>
      <c r="G41" s="2"/>
      <c r="H41" s="2"/>
      <c r="I41" s="2"/>
      <c r="J41" s="2"/>
      <c r="K41" s="3"/>
      <c r="L41" s="9"/>
    </row>
    <row r="42" spans="1:12" x14ac:dyDescent="0.3">
      <c r="A42" s="9">
        <v>2.6832699999999998</v>
      </c>
      <c r="B42" s="3"/>
      <c r="C42" s="2"/>
      <c r="D42" s="2"/>
      <c r="E42" s="2"/>
      <c r="F42" s="3"/>
      <c r="G42" s="2"/>
      <c r="H42" s="2"/>
      <c r="I42" s="2"/>
      <c r="J42" s="2"/>
      <c r="K42" s="3"/>
      <c r="L42" s="9"/>
    </row>
    <row r="43" spans="1:12" x14ac:dyDescent="0.3">
      <c r="A43" s="9">
        <v>2.69475</v>
      </c>
      <c r="B43" s="3"/>
      <c r="C43" s="2"/>
      <c r="D43" s="2"/>
      <c r="E43" s="2"/>
      <c r="F43" s="3"/>
      <c r="G43" s="2"/>
      <c r="H43" s="2"/>
      <c r="I43" s="2"/>
      <c r="J43" s="2"/>
      <c r="K43" s="3"/>
      <c r="L43" s="9"/>
    </row>
    <row r="44" spans="1:12" x14ac:dyDescent="0.3">
      <c r="A44" s="9">
        <v>2.72661</v>
      </c>
      <c r="B44" s="3"/>
      <c r="C44" s="2"/>
      <c r="D44" s="2"/>
      <c r="E44" s="2"/>
      <c r="F44" s="3"/>
      <c r="G44" s="2"/>
      <c r="H44" s="2"/>
      <c r="I44" s="2"/>
      <c r="J44" s="2"/>
      <c r="K44" s="3"/>
      <c r="L44" s="9"/>
    </row>
    <row r="45" spans="1:12" x14ac:dyDescent="0.3">
      <c r="A45" s="9">
        <v>2.7359800000000001</v>
      </c>
      <c r="B45" s="3"/>
      <c r="C45" s="2"/>
      <c r="D45" s="2"/>
      <c r="E45" s="2"/>
      <c r="F45" s="3"/>
      <c r="G45" s="2"/>
      <c r="H45" s="2"/>
      <c r="I45" s="2"/>
      <c r="J45" s="2"/>
      <c r="K45" s="3"/>
      <c r="L45" s="9"/>
    </row>
    <row r="46" spans="1:12" x14ac:dyDescent="0.3">
      <c r="A46" s="9">
        <v>2.7911600000000001</v>
      </c>
      <c r="B46" s="3"/>
      <c r="C46" s="2"/>
      <c r="D46" s="2"/>
      <c r="E46" s="2"/>
      <c r="F46" s="3"/>
      <c r="G46" s="2"/>
      <c r="H46" s="2"/>
      <c r="I46" s="2"/>
      <c r="J46" s="2"/>
      <c r="K46" s="3"/>
      <c r="L46" s="9"/>
    </row>
    <row r="47" spans="1:12" x14ac:dyDescent="0.3">
      <c r="A47" s="9">
        <v>2.80681</v>
      </c>
      <c r="B47" s="3"/>
      <c r="C47" s="2"/>
      <c r="D47" s="2"/>
      <c r="E47" s="2"/>
      <c r="F47" s="3"/>
      <c r="G47" s="2"/>
      <c r="H47" s="2"/>
      <c r="I47" s="2"/>
      <c r="J47" s="2"/>
      <c r="K47" s="3"/>
      <c r="L47" s="9"/>
    </row>
    <row r="48" spans="1:12" x14ac:dyDescent="0.3">
      <c r="A48" s="9">
        <v>2.8380100000000001</v>
      </c>
      <c r="B48" s="3"/>
      <c r="C48" s="2"/>
      <c r="D48" s="2"/>
      <c r="E48" s="2"/>
      <c r="F48" s="3"/>
      <c r="G48" s="2"/>
      <c r="H48" s="2"/>
      <c r="I48" s="2"/>
      <c r="J48" s="2"/>
      <c r="K48" s="3"/>
      <c r="L48" s="9"/>
    </row>
    <row r="49" spans="1:12" x14ac:dyDescent="0.3">
      <c r="A49" s="9">
        <v>2.8650799999999998</v>
      </c>
      <c r="B49" s="3"/>
      <c r="C49" s="2"/>
      <c r="D49" s="2"/>
      <c r="E49" s="2"/>
      <c r="F49" s="3"/>
      <c r="G49" s="2"/>
      <c r="H49" s="2"/>
      <c r="I49" s="2"/>
      <c r="J49" s="2"/>
      <c r="K49" s="3"/>
      <c r="L49" s="9"/>
    </row>
    <row r="50" spans="1:12" x14ac:dyDescent="0.3">
      <c r="A50" s="9">
        <v>2.9084699999999999</v>
      </c>
      <c r="B50" s="3"/>
      <c r="C50" s="2"/>
      <c r="D50" s="2"/>
      <c r="E50" s="2"/>
      <c r="F50" s="3"/>
      <c r="G50" s="2"/>
      <c r="H50" s="2"/>
      <c r="I50" s="2"/>
      <c r="J50" s="2"/>
      <c r="K50" s="3"/>
      <c r="L50" s="9"/>
    </row>
    <row r="51" spans="1:12" x14ac:dyDescent="0.3">
      <c r="A51" s="9">
        <v>2.9272100000000001</v>
      </c>
      <c r="B51" s="3"/>
      <c r="C51" s="2"/>
      <c r="D51" s="2"/>
      <c r="E51" s="2"/>
      <c r="F51" s="3"/>
      <c r="G51" s="2"/>
      <c r="H51" s="2"/>
      <c r="I51" s="2"/>
      <c r="J51" s="2"/>
      <c r="K51" s="3"/>
      <c r="L51" s="9"/>
    </row>
  </sheetData>
  <mergeCells count="2">
    <mergeCell ref="D11:E11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Лист4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Petrushin</dc:creator>
  <cp:lastModifiedBy>Artem Petrushin</cp:lastModifiedBy>
  <dcterms:created xsi:type="dcterms:W3CDTF">2025-12-11T21:21:54Z</dcterms:created>
  <dcterms:modified xsi:type="dcterms:W3CDTF">2025-12-18T23:05:04Z</dcterms:modified>
</cp:coreProperties>
</file>