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ртём\Desktop\Универ\Офисные технологии\"/>
    </mc:Choice>
  </mc:AlternateContent>
  <xr:revisionPtr revIDLastSave="0" documentId="13_ncr:1_{DB5A5838-2E7E-459D-97CA-6FE1ED8F2574}" xr6:coauthVersionLast="47" xr6:coauthVersionMax="47" xr10:uidLastSave="{00000000-0000-0000-0000-000000000000}"/>
  <bookViews>
    <workbookView xWindow="3816" yWindow="1212" windowWidth="17280" windowHeight="8880" firstSheet="1" activeTab="5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8" i="6" l="1"/>
  <c r="Z4" i="6"/>
  <c r="Z5" i="6"/>
  <c r="Z6" i="6"/>
  <c r="Z7" i="6"/>
  <c r="Z8" i="6"/>
  <c r="Z9" i="6"/>
  <c r="Z10" i="6"/>
  <c r="Z11" i="6"/>
  <c r="Z12" i="6"/>
  <c r="Z13" i="6"/>
  <c r="Z3" i="6"/>
  <c r="I4" i="6"/>
  <c r="I5" i="6"/>
  <c r="I6" i="6"/>
  <c r="I7" i="6"/>
  <c r="I8" i="6"/>
  <c r="I9" i="6"/>
  <c r="I10" i="6"/>
  <c r="I11" i="6"/>
  <c r="I12" i="6"/>
  <c r="I3" i="6"/>
  <c r="J4" i="6"/>
  <c r="J5" i="6"/>
  <c r="J6" i="6"/>
  <c r="J7" i="6"/>
  <c r="J8" i="6"/>
  <c r="J9" i="6"/>
  <c r="J10" i="6"/>
  <c r="J11" i="6"/>
  <c r="J12" i="6"/>
  <c r="J3" i="6"/>
  <c r="D15" i="6"/>
  <c r="E15" i="6"/>
  <c r="F15" i="6"/>
  <c r="C15" i="6"/>
  <c r="W16" i="6" l="1"/>
  <c r="W15" i="6"/>
  <c r="AA8" i="6" s="1"/>
  <c r="W14" i="6"/>
  <c r="D14" i="6"/>
  <c r="E14" i="6"/>
  <c r="F14" i="6"/>
  <c r="C14" i="6"/>
  <c r="D13" i="6"/>
  <c r="E13" i="6"/>
  <c r="F13" i="6"/>
  <c r="C13" i="6"/>
  <c r="H4" i="6"/>
  <c r="H5" i="6"/>
  <c r="H6" i="6"/>
  <c r="H7" i="6"/>
  <c r="H8" i="6"/>
  <c r="H9" i="6"/>
  <c r="H10" i="6"/>
  <c r="H11" i="6"/>
  <c r="H12" i="6"/>
  <c r="G4" i="6"/>
  <c r="G5" i="6"/>
  <c r="G6" i="6"/>
  <c r="G7" i="6"/>
  <c r="G8" i="6"/>
  <c r="G9" i="6"/>
  <c r="G10" i="6"/>
  <c r="G11" i="6"/>
  <c r="G12" i="6"/>
  <c r="H3" i="6"/>
  <c r="H14" i="6" s="1"/>
  <c r="G3" i="6"/>
  <c r="G14" i="6" s="1"/>
  <c r="AA3" i="6" l="1"/>
  <c r="AA7" i="6"/>
  <c r="AA6" i="6"/>
  <c r="AA4" i="6"/>
  <c r="AB5" i="6"/>
  <c r="AB13" i="6"/>
  <c r="AB6" i="6"/>
  <c r="AB3" i="6"/>
  <c r="W17" i="6" s="1"/>
  <c r="AA11" i="6"/>
  <c r="AB7" i="6"/>
  <c r="AB8" i="6"/>
  <c r="AA5" i="6"/>
  <c r="AA13" i="6"/>
  <c r="AB9" i="6"/>
  <c r="AB11" i="6"/>
  <c r="AA10" i="6"/>
  <c r="AB10" i="6"/>
  <c r="AA9" i="6"/>
  <c r="AA12" i="6"/>
  <c r="AB12" i="6"/>
  <c r="AB4" i="6"/>
  <c r="H13" i="6"/>
  <c r="G13" i="6"/>
  <c r="Q11" i="5"/>
  <c r="Q7" i="5" l="1"/>
  <c r="Q8" i="5"/>
  <c r="R8" i="5" s="1"/>
  <c r="Q9" i="5"/>
  <c r="Q10" i="5"/>
  <c r="R10" i="5" s="1"/>
  <c r="Q6" i="5"/>
  <c r="Q12" i="5" s="1"/>
  <c r="M11" i="5"/>
  <c r="M7" i="5"/>
  <c r="M8" i="5"/>
  <c r="M9" i="5"/>
  <c r="M10" i="5"/>
  <c r="M6" i="5"/>
  <c r="H17" i="5"/>
  <c r="H18" i="5"/>
  <c r="G19" i="5"/>
  <c r="H19" i="5" s="1"/>
  <c r="G18" i="5"/>
  <c r="G17" i="5"/>
  <c r="G16" i="5"/>
  <c r="H9" i="5"/>
  <c r="H10" i="5"/>
  <c r="H13" i="5"/>
  <c r="G15" i="5"/>
  <c r="H16" i="5" s="1"/>
  <c r="G14" i="5"/>
  <c r="H14" i="5" s="1"/>
  <c r="G13" i="5"/>
  <c r="G12" i="5"/>
  <c r="H12" i="5" s="1"/>
  <c r="G11" i="5"/>
  <c r="H11" i="5" s="1"/>
  <c r="G10" i="5"/>
  <c r="G9" i="5"/>
  <c r="G8" i="5"/>
  <c r="H8" i="5" s="1"/>
  <c r="G7" i="5"/>
  <c r="H7" i="5" s="1"/>
  <c r="G6" i="5"/>
  <c r="G20" i="5" s="1"/>
  <c r="C7" i="5"/>
  <c r="C8" i="5"/>
  <c r="C9" i="5"/>
  <c r="C10" i="5"/>
  <c r="C11" i="5"/>
  <c r="C12" i="5"/>
  <c r="C13" i="5"/>
  <c r="C14" i="5"/>
  <c r="C15" i="5"/>
  <c r="C6" i="5"/>
  <c r="C16" i="5" s="1"/>
  <c r="H15" i="5" l="1"/>
  <c r="R9" i="5"/>
  <c r="R7" i="5"/>
  <c r="R11" i="5"/>
  <c r="K15" i="4" a="1"/>
  <c r="K15" i="4" s="1"/>
  <c r="L12" i="4"/>
  <c r="B15" i="4" a="1"/>
  <c r="B15" i="4" s="1"/>
  <c r="C12" i="4"/>
  <c r="L17" i="4" l="1"/>
  <c r="K17" i="4"/>
  <c r="M16" i="4"/>
  <c r="L16" i="4"/>
  <c r="K16" i="4"/>
  <c r="M15" i="4"/>
  <c r="L15" i="4"/>
  <c r="L21" i="4" s="1" a="1"/>
  <c r="M17" i="4"/>
  <c r="C17" i="4"/>
  <c r="B17" i="4"/>
  <c r="D16" i="4"/>
  <c r="C16" i="4"/>
  <c r="B16" i="4"/>
  <c r="D15" i="4"/>
  <c r="C15" i="4"/>
  <c r="C21" i="4" s="1" a="1"/>
  <c r="D17" i="4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8" i="2"/>
  <c r="B9" i="2"/>
  <c r="B10" i="2"/>
  <c r="B11" i="2"/>
  <c r="B12" i="2"/>
  <c r="B13" i="2"/>
  <c r="B14" i="2"/>
  <c r="B15" i="2"/>
  <c r="B16" i="2"/>
  <c r="B17" i="2"/>
  <c r="B18" i="2"/>
  <c r="B8" i="2"/>
  <c r="C21" i="4" l="1"/>
  <c r="C22" i="4"/>
  <c r="C23" i="4"/>
  <c r="L23" i="4"/>
  <c r="L21" i="4"/>
  <c r="L22" i="4"/>
  <c r="I25" i="1"/>
  <c r="U25" i="1" l="1"/>
  <c r="R25" i="1"/>
  <c r="O25" i="1"/>
  <c r="O5" i="1"/>
  <c r="O20" i="1" l="1"/>
  <c r="O18" i="1"/>
  <c r="O19" i="1"/>
  <c r="O6" i="1"/>
  <c r="O22" i="1" s="1"/>
  <c r="O7" i="1"/>
  <c r="O8" i="1"/>
  <c r="O9" i="1"/>
  <c r="O10" i="1"/>
  <c r="O11" i="1"/>
  <c r="O12" i="1"/>
  <c r="O13" i="1"/>
  <c r="O14" i="1"/>
  <c r="O15" i="1"/>
  <c r="O16" i="1"/>
  <c r="O17" i="1"/>
  <c r="F25" i="1"/>
  <c r="C25" i="1"/>
  <c r="C5" i="1"/>
  <c r="C19" i="1"/>
  <c r="C18" i="1"/>
  <c r="C17" i="1"/>
  <c r="C16" i="1"/>
  <c r="C15" i="1"/>
  <c r="C14" i="1"/>
  <c r="C13" i="1"/>
  <c r="C12" i="1"/>
  <c r="C6" i="1"/>
  <c r="C20" i="1" s="1"/>
  <c r="C7" i="1"/>
  <c r="C8" i="1"/>
  <c r="C9" i="1"/>
  <c r="C10" i="1"/>
  <c r="C11" i="1"/>
  <c r="C21" i="1" l="1"/>
  <c r="O21" i="1"/>
</calcChain>
</file>

<file path=xl/sharedStrings.xml><?xml version="1.0" encoding="utf-8"?>
<sst xmlns="http://schemas.openxmlformats.org/spreadsheetml/2006/main" count="132" uniqueCount="80">
  <si>
    <t>x</t>
  </si>
  <si>
    <t>y</t>
  </si>
  <si>
    <t>max=</t>
  </si>
  <si>
    <t>min=</t>
  </si>
  <si>
    <t>Значение 1 корня</t>
  </si>
  <si>
    <t>Значение функции в корне</t>
  </si>
  <si>
    <t>Значение 2 корня</t>
  </si>
  <si>
    <t>Пример</t>
  </si>
  <si>
    <t>16 вариант</t>
  </si>
  <si>
    <t>Значение 3 корня</t>
  </si>
  <si>
    <t>c=</t>
  </si>
  <si>
    <t>d=</t>
  </si>
  <si>
    <t>a=</t>
  </si>
  <si>
    <t>b=</t>
  </si>
  <si>
    <t>Решение системы линейный уравнений</t>
  </si>
  <si>
    <t>Запись системы уравнений в матричной форме</t>
  </si>
  <si>
    <t>Определитель A</t>
  </si>
  <si>
    <t>Обратная матрица</t>
  </si>
  <si>
    <t>Результат</t>
  </si>
  <si>
    <t>A=</t>
  </si>
  <si>
    <t>x1=</t>
  </si>
  <si>
    <t>x2=</t>
  </si>
  <si>
    <t>x3=</t>
  </si>
  <si>
    <t>Решение системы линейных уравнений</t>
  </si>
  <si>
    <t>Вычисление суммы конечного ряда</t>
  </si>
  <si>
    <t>Вычисление суммы бесконечного ряда</t>
  </si>
  <si>
    <t>Очередное
слагаемое</t>
  </si>
  <si>
    <t xml:space="preserve">Значение
k </t>
  </si>
  <si>
    <t>Сумма ряда</t>
  </si>
  <si>
    <t>Значение
k</t>
  </si>
  <si>
    <t>ε</t>
  </si>
  <si>
    <t xml:space="preserve">Точность </t>
  </si>
  <si>
    <t>№</t>
  </si>
  <si>
    <t>ФИО</t>
  </si>
  <si>
    <t>Математика</t>
  </si>
  <si>
    <t>Физика</t>
  </si>
  <si>
    <t>Информатика</t>
  </si>
  <si>
    <t>Обществознание</t>
  </si>
  <si>
    <t>Средний  балл</t>
  </si>
  <si>
    <t>Максимальная оценка</t>
  </si>
  <si>
    <t>Количество
 сданных экзаменов</t>
  </si>
  <si>
    <t>Процент набранных
 баллов</t>
  </si>
  <si>
    <t>Иванов А.П.</t>
  </si>
  <si>
    <t>Сидоров К.Н.</t>
  </si>
  <si>
    <t>Петров П.Р.</t>
  </si>
  <si>
    <t>Малинин А.А</t>
  </si>
  <si>
    <t>Карпова Е.А</t>
  </si>
  <si>
    <t>Столяров А.А</t>
  </si>
  <si>
    <t>Краснов В.О.</t>
  </si>
  <si>
    <t>Рямова В.П.</t>
  </si>
  <si>
    <t>Уткин Р.Р.</t>
  </si>
  <si>
    <t>Курочкина А.А.</t>
  </si>
  <si>
    <t>Средний балл</t>
  </si>
  <si>
    <t>Max оценка</t>
  </si>
  <si>
    <t>Количество
студентов
сдававших
экзамен</t>
  </si>
  <si>
    <t>Модель</t>
  </si>
  <si>
    <t>Год
 выпуска</t>
  </si>
  <si>
    <t>Тактовая
 частота</t>
  </si>
  <si>
    <t>Процент отклонения от средней цены</t>
  </si>
  <si>
    <t>Стоимость больше средней цены</t>
  </si>
  <si>
    <t>Цена в рублях</t>
  </si>
  <si>
    <t>Минимальная цена</t>
  </si>
  <si>
    <t>Средняя цена</t>
  </si>
  <si>
    <t>Максимальная
цена</t>
  </si>
  <si>
    <t>Количество моделей
с ценой выше средней</t>
  </si>
  <si>
    <t>Количество компьютеров,
выпущенных до 2010 года</t>
  </si>
  <si>
    <t>Dell Inspiron</t>
  </si>
  <si>
    <t>Lenovo ThinkPad</t>
  </si>
  <si>
    <t>Acer Asprire</t>
  </si>
  <si>
    <t>Asus ROG</t>
  </si>
  <si>
    <t>Apple iMac</t>
  </si>
  <si>
    <t>Microsoft Surface</t>
  </si>
  <si>
    <t>Samsung Odyssey</t>
  </si>
  <si>
    <t>HP EliteBook</t>
  </si>
  <si>
    <t>Dell Latitude</t>
  </si>
  <si>
    <t>Lenovo ThinkCentre</t>
  </si>
  <si>
    <t xml:space="preserve">Цена в у.е.
</t>
  </si>
  <si>
    <t>1 у. е.=</t>
  </si>
  <si>
    <t>рублей</t>
  </si>
  <si>
    <t>HP Pavilion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</si>
</sst>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"/>
    <numFmt numFmtId="167" formatCode="0.000"/>
    <numFmt numFmtId="168" formatCode="0.0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Font="1" applyFill="1" applyBorder="1" applyAlignment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0" xfId="0" applyFont="1" applyFill="1" applyBorder="1"/>
    <xf numFmtId="0" fontId="1" fillId="3" borderId="2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167" fontId="1" fillId="0" borderId="2" xfId="0" applyNumberFormat="1" applyFont="1" applyBorder="1"/>
    <xf numFmtId="167" fontId="1" fillId="0" borderId="3" xfId="0" applyNumberFormat="1" applyFont="1" applyBorder="1"/>
    <xf numFmtId="167" fontId="1" fillId="0" borderId="4" xfId="0" applyNumberFormat="1" applyFont="1" applyBorder="1"/>
    <xf numFmtId="167" fontId="1" fillId="0" borderId="5" xfId="0" applyNumberFormat="1" applyFont="1" applyBorder="1"/>
    <xf numFmtId="167" fontId="1" fillId="0" borderId="1" xfId="0" applyNumberFormat="1" applyFont="1" applyBorder="1"/>
    <xf numFmtId="167" fontId="1" fillId="0" borderId="6" xfId="0" applyNumberFormat="1" applyFont="1" applyBorder="1"/>
    <xf numFmtId="167" fontId="1" fillId="0" borderId="7" xfId="0" applyNumberFormat="1" applyFont="1" applyBorder="1"/>
    <xf numFmtId="167" fontId="1" fillId="0" borderId="8" xfId="0" applyNumberFormat="1" applyFont="1" applyBorder="1"/>
    <xf numFmtId="167" fontId="1" fillId="0" borderId="9" xfId="0" applyNumberFormat="1" applyFont="1" applyBorder="1"/>
    <xf numFmtId="167" fontId="1" fillId="3" borderId="4" xfId="0" applyNumberFormat="1" applyFont="1" applyFill="1" applyBorder="1"/>
    <xf numFmtId="167" fontId="1" fillId="3" borderId="6" xfId="0" applyNumberFormat="1" applyFont="1" applyFill="1" applyBorder="1"/>
    <xf numFmtId="167" fontId="1" fillId="3" borderId="9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" fontId="1" fillId="3" borderId="4" xfId="0" applyNumberFormat="1" applyFont="1" applyFill="1" applyBorder="1"/>
    <xf numFmtId="1" fontId="1" fillId="3" borderId="6" xfId="0" applyNumberFormat="1" applyFont="1" applyFill="1" applyBorder="1"/>
    <xf numFmtId="1" fontId="1" fillId="3" borderId="9" xfId="0" applyNumberFormat="1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166" fontId="0" fillId="0" borderId="5" xfId="0" applyNumberFormat="1" applyBorder="1"/>
    <xf numFmtId="165" fontId="0" fillId="0" borderId="6" xfId="0" applyNumberFormat="1" applyBorder="1"/>
    <xf numFmtId="166" fontId="0" fillId="0" borderId="7" xfId="0" applyNumberFormat="1" applyBorder="1"/>
    <xf numFmtId="165" fontId="0" fillId="0" borderId="9" xfId="0" applyNumberFormat="1" applyBorder="1"/>
    <xf numFmtId="0" fontId="1" fillId="3" borderId="2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2" fontId="0" fillId="0" borderId="5" xfId="0" applyNumberFormat="1" applyBorder="1"/>
    <xf numFmtId="2" fontId="0" fillId="0" borderId="7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0" fontId="1" fillId="2" borderId="2" xfId="0" applyFont="1" applyFill="1" applyBorder="1" applyAlignment="1">
      <alignment horizontal="center" vertical="center"/>
    </xf>
    <xf numFmtId="0" fontId="0" fillId="0" borderId="5" xfId="0" applyNumberFormat="1" applyBorder="1"/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9" xfId="0" applyNumberFormat="1" applyBorder="1"/>
    <xf numFmtId="168" fontId="0" fillId="0" borderId="6" xfId="0" applyNumberFormat="1" applyBorder="1"/>
    <xf numFmtId="168" fontId="0" fillId="0" borderId="9" xfId="0" applyNumberFormat="1" applyBorder="1"/>
    <xf numFmtId="0" fontId="1" fillId="2" borderId="2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168" fontId="0" fillId="0" borderId="14" xfId="0" applyNumberFormat="1" applyBorder="1"/>
    <xf numFmtId="168" fontId="1" fillId="3" borderId="13" xfId="0" applyNumberFormat="1" applyFont="1" applyFill="1" applyBorder="1"/>
    <xf numFmtId="0" fontId="2" fillId="2" borderId="10" xfId="0" applyFont="1" applyFill="1" applyBorder="1" applyAlignment="1">
      <alignment horizontal="center"/>
    </xf>
    <xf numFmtId="165" fontId="0" fillId="0" borderId="11" xfId="0" applyNumberFormat="1" applyBorder="1"/>
    <xf numFmtId="0" fontId="0" fillId="0" borderId="5" xfId="0" applyFill="1" applyBorder="1"/>
    <xf numFmtId="168" fontId="0" fillId="0" borderId="6" xfId="0" applyNumberFormat="1" applyFill="1" applyBorder="1"/>
    <xf numFmtId="0" fontId="0" fillId="0" borderId="7" xfId="0" applyFill="1" applyBorder="1"/>
    <xf numFmtId="168" fontId="0" fillId="0" borderId="9" xfId="0" applyNumberFormat="1" applyFill="1" applyBorder="1"/>
    <xf numFmtId="165" fontId="0" fillId="0" borderId="17" xfId="0" applyNumberFormat="1" applyBorder="1"/>
    <xf numFmtId="165" fontId="1" fillId="3" borderId="13" xfId="0" applyNumberFormat="1" applyFont="1" applyFill="1" applyBorder="1"/>
    <xf numFmtId="0" fontId="1" fillId="0" borderId="0" xfId="0" applyFont="1" applyBorder="1"/>
    <xf numFmtId="168" fontId="1" fillId="3" borderId="15" xfId="0" applyNumberFormat="1" applyFont="1" applyFill="1" applyBorder="1"/>
    <xf numFmtId="0" fontId="1" fillId="2" borderId="18" xfId="0" applyFont="1" applyFill="1" applyBorder="1" applyAlignment="1">
      <alignment horizontal="center" wrapText="1"/>
    </xf>
    <xf numFmtId="168" fontId="0" fillId="0" borderId="11" xfId="0" applyNumberFormat="1" applyBorder="1"/>
    <xf numFmtId="0" fontId="1" fillId="0" borderId="0" xfId="0" applyFont="1" applyFill="1" applyBorder="1"/>
    <xf numFmtId="0" fontId="0" fillId="0" borderId="20" xfId="0" applyBorder="1"/>
    <xf numFmtId="168" fontId="0" fillId="0" borderId="17" xfId="0" applyNumberFormat="1" applyBorder="1"/>
    <xf numFmtId="0" fontId="0" fillId="0" borderId="7" xfId="0" applyFont="1" applyFill="1" applyBorder="1"/>
    <xf numFmtId="164" fontId="0" fillId="0" borderId="16" xfId="0" applyNumberFormat="1" applyBorder="1"/>
    <xf numFmtId="164" fontId="0" fillId="0" borderId="21" xfId="0" applyNumberFormat="1" applyBorder="1"/>
    <xf numFmtId="164" fontId="0" fillId="4" borderId="19" xfId="0" applyNumberFormat="1" applyFont="1" applyFill="1" applyBorder="1"/>
    <xf numFmtId="164" fontId="0" fillId="0" borderId="0" xfId="0" applyNumberFormat="1" applyBorder="1"/>
    <xf numFmtId="164" fontId="0" fillId="0" borderId="0" xfId="0" applyNumberFormat="1" applyFill="1" applyBorder="1"/>
    <xf numFmtId="0" fontId="0" fillId="0" borderId="0" xfId="0" applyFont="1" applyFill="1" applyBorder="1"/>
    <xf numFmtId="164" fontId="1" fillId="3" borderId="13" xfId="0" applyNumberFormat="1" applyFont="1" applyFill="1" applyBorder="1"/>
    <xf numFmtId="0" fontId="1" fillId="3" borderId="22" xfId="0" applyFont="1" applyFill="1" applyBorder="1" applyAlignment="1">
      <alignment horizontal="right"/>
    </xf>
    <xf numFmtId="168" fontId="1" fillId="0" borderId="23" xfId="0" applyNumberFormat="1" applyFont="1" applyBorder="1"/>
    <xf numFmtId="164" fontId="1" fillId="0" borderId="15" xfId="0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2" fontId="0" fillId="0" borderId="8" xfId="0" applyNumberFormat="1" applyBorder="1"/>
    <xf numFmtId="2" fontId="0" fillId="0" borderId="9" xfId="0" applyNumberFormat="1" applyBorder="1"/>
    <xf numFmtId="2" fontId="0" fillId="0" borderId="24" xfId="0" applyNumberFormat="1" applyBorder="1"/>
    <xf numFmtId="2" fontId="0" fillId="0" borderId="27" xfId="0" applyNumberFormat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8" xfId="0" applyFill="1" applyBorder="1" applyAlignment="1">
      <alignment horizontal="center" vertical="center" textRotation="90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28" xfId="0" applyFill="1" applyBorder="1" applyAlignment="1">
      <alignment horizontal="center" vertical="center" textRotation="90" wrapText="1"/>
    </xf>
    <xf numFmtId="10" fontId="0" fillId="0" borderId="29" xfId="0" applyNumberFormat="1" applyBorder="1" applyAlignment="1">
      <alignment horizontal="center"/>
    </xf>
    <xf numFmtId="0" fontId="0" fillId="3" borderId="10" xfId="0" applyFill="1" applyBorder="1" applyAlignment="1">
      <alignment horizontal="center" vertical="center" textRotation="90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2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2" fontId="0" fillId="0" borderId="5" xfId="0" applyNumberFormat="1" applyBorder="1" applyAlignment="1"/>
    <xf numFmtId="2" fontId="0" fillId="0" borderId="7" xfId="0" applyNumberFormat="1" applyBorder="1" applyAlignment="1"/>
    <xf numFmtId="0" fontId="0" fillId="0" borderId="25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10" fontId="0" fillId="0" borderId="30" xfId="0" applyNumberFormat="1" applyBorder="1" applyAlignment="1">
      <alignment horizontal="center"/>
    </xf>
    <xf numFmtId="0" fontId="0" fillId="3" borderId="3" xfId="0" applyFill="1" applyBorder="1" applyAlignment="1">
      <alignment horizontal="center" vertical="center" textRotation="90" wrapText="1"/>
    </xf>
    <xf numFmtId="0" fontId="0" fillId="4" borderId="0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166" fontId="0" fillId="0" borderId="1" xfId="0" applyNumberFormat="1" applyBorder="1"/>
    <xf numFmtId="166" fontId="0" fillId="0" borderId="8" xfId="0" applyNumberFormat="1" applyBorder="1"/>
    <xf numFmtId="0" fontId="0" fillId="3" borderId="10" xfId="0" applyFill="1" applyBorder="1" applyAlignment="1">
      <alignment horizontal="center" vertical="center" textRotation="90"/>
    </xf>
    <xf numFmtId="0" fontId="0" fillId="0" borderId="31" xfId="0" applyBorder="1"/>
    <xf numFmtId="0" fontId="0" fillId="3" borderId="22" xfId="0" applyFill="1" applyBorder="1" applyAlignment="1">
      <alignment horizontal="right"/>
    </xf>
    <xf numFmtId="0" fontId="0" fillId="0" borderId="32" xfId="0" applyBorder="1" applyAlignment="1">
      <alignment horizontal="right"/>
    </xf>
    <xf numFmtId="1" fontId="0" fillId="0" borderId="11" xfId="0" applyNumberFormat="1" applyBorder="1"/>
    <xf numFmtId="1" fontId="0" fillId="0" borderId="12" xfId="0" applyNumberFormat="1" applyBorder="1"/>
    <xf numFmtId="0" fontId="0" fillId="0" borderId="33" xfId="0" applyFill="1" applyBorder="1"/>
    <xf numFmtId="0" fontId="0" fillId="0" borderId="33" xfId="0" applyBorder="1"/>
    <xf numFmtId="0" fontId="0" fillId="3" borderId="2" xfId="0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10" fontId="0" fillId="0" borderId="11" xfId="0" applyNumberFormat="1" applyBorder="1"/>
    <xf numFmtId="10" fontId="0" fillId="0" borderId="12" xfId="0" applyNumberFormat="1" applyBorder="1"/>
    <xf numFmtId="0" fontId="0" fillId="3" borderId="2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22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функции</a:t>
            </a:r>
            <a:r>
              <a:rPr lang="en-US" baseline="0"/>
              <a:t> y=sin(x)</a:t>
            </a:r>
            <a:endParaRPr lang="ru-RU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'Задание 1'!$B$5:$B$19</c:f>
              <c:numCache>
                <c:formatCode>General</c:formatCode>
                <c:ptCount val="15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</c:numCache>
            </c:numRef>
          </c:xVal>
          <c:yVal>
            <c:numRef>
              <c:f>'Задание 1'!$C$5:$C$19</c:f>
              <c:numCache>
                <c:formatCode>0.000000</c:formatCode>
                <c:ptCount val="15"/>
                <c:pt idx="0">
                  <c:v>0.35078322768961984</c:v>
                </c:pt>
                <c:pt idx="1">
                  <c:v>-0.14112000805986721</c:v>
                </c:pt>
                <c:pt idx="2">
                  <c:v>-0.59847214410395655</c:v>
                </c:pt>
                <c:pt idx="3">
                  <c:v>-0.90929742682568171</c:v>
                </c:pt>
                <c:pt idx="4">
                  <c:v>-0.99749498660405445</c:v>
                </c:pt>
                <c:pt idx="5">
                  <c:v>-0.8414709848078965</c:v>
                </c:pt>
                <c:pt idx="6">
                  <c:v>-0.47942553860420301</c:v>
                </c:pt>
                <c:pt idx="7">
                  <c:v>0</c:v>
                </c:pt>
                <c:pt idx="8">
                  <c:v>0.47942553860420301</c:v>
                </c:pt>
                <c:pt idx="9">
                  <c:v>0.8414709848078965</c:v>
                </c:pt>
                <c:pt idx="10">
                  <c:v>0.99749498660405445</c:v>
                </c:pt>
                <c:pt idx="11">
                  <c:v>0.90929742682568171</c:v>
                </c:pt>
                <c:pt idx="12">
                  <c:v>0.59847214410395655</c:v>
                </c:pt>
                <c:pt idx="13">
                  <c:v>0.14112000805986721</c:v>
                </c:pt>
                <c:pt idx="14">
                  <c:v>-0.35078322768961984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DF-4F3C-AE90-1FD3F6A95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10208"/>
        <c:axId val="261712128"/>
      </c:scatterChart>
      <c:valAx>
        <c:axId val="261710208"/>
        <c:scaling>
          <c:orientation val="minMax"/>
          <c:max val="4"/>
          <c:min val="-4"/>
        </c:scaling>
        <c:delete val="0"/>
        <c:axPos val="b"/>
        <c:majorGridlines>
          <c:spPr>
            <a:ln w="15875"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prstDash val="solid"/>
          </a:ln>
        </c:spPr>
        <c:crossAx val="261712128"/>
        <c:crosses val="autoZero"/>
        <c:crossBetween val="midCat"/>
        <c:majorUnit val="0.5"/>
        <c:minorUnit val="0.2"/>
      </c:valAx>
      <c:valAx>
        <c:axId val="261712128"/>
        <c:scaling>
          <c:orientation val="minMax"/>
        </c:scaling>
        <c:delete val="0"/>
        <c:axPos val="l"/>
        <c:majorGridlines>
          <c:spPr>
            <a:ln w="19050"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25400" cmpd="sng"/>
        </c:spPr>
        <c:crossAx val="261710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b="1"/>
              <a:t>График</a:t>
            </a:r>
            <a:r>
              <a:rPr lang="ru-RU" b="1" baseline="0"/>
              <a:t> функции</a:t>
            </a:r>
            <a:r>
              <a:rPr lang="en-US" b="1" baseline="0"/>
              <a:t> y=x</a:t>
            </a:r>
            <a:r>
              <a:rPr lang="ru-RU" sz="1800" b="1" i="0" u="none" strike="noStrike" baseline="0">
                <a:effectLst/>
              </a:rPr>
              <a:t>³-33</a:t>
            </a:r>
            <a:r>
              <a:rPr lang="en-US" sz="1800" b="1" i="0" u="none" strike="noStrike" baseline="0">
                <a:effectLst/>
              </a:rPr>
              <a:t>x+21</a:t>
            </a:r>
            <a:r>
              <a:rPr lang="ru-RU" b="1" baseline="0"/>
              <a:t> </a:t>
            </a:r>
            <a:endParaRPr lang="ru-RU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181472034305577E-2"/>
          <c:y val="0.16236380646593934"/>
          <c:w val="0.85794286717681401"/>
          <c:h val="0.78247608161882987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'Задание 1'!$N$5:$N$20</c:f>
              <c:numCache>
                <c:formatCode>General</c:formatCode>
                <c:ptCount val="16"/>
                <c:pt idx="0">
                  <c:v>-8</c:v>
                </c:pt>
                <c:pt idx="1">
                  <c:v>-7</c:v>
                </c:pt>
                <c:pt idx="2">
                  <c:v>-6</c:v>
                </c:pt>
                <c:pt idx="3">
                  <c:v>-5</c:v>
                </c:pt>
                <c:pt idx="4">
                  <c:v>-4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</c:numCache>
            </c:numRef>
          </c:xVal>
          <c:yVal>
            <c:numRef>
              <c:f>'Задание 1'!$O$5:$O$20</c:f>
              <c:numCache>
                <c:formatCode>General</c:formatCode>
                <c:ptCount val="16"/>
                <c:pt idx="0">
                  <c:v>-227</c:v>
                </c:pt>
                <c:pt idx="1">
                  <c:v>-91</c:v>
                </c:pt>
                <c:pt idx="2">
                  <c:v>3</c:v>
                </c:pt>
                <c:pt idx="3">
                  <c:v>61</c:v>
                </c:pt>
                <c:pt idx="4">
                  <c:v>89</c:v>
                </c:pt>
                <c:pt idx="5">
                  <c:v>93</c:v>
                </c:pt>
                <c:pt idx="6">
                  <c:v>79</c:v>
                </c:pt>
                <c:pt idx="7">
                  <c:v>53</c:v>
                </c:pt>
                <c:pt idx="8">
                  <c:v>21</c:v>
                </c:pt>
                <c:pt idx="9">
                  <c:v>-11</c:v>
                </c:pt>
                <c:pt idx="10">
                  <c:v>-37</c:v>
                </c:pt>
                <c:pt idx="11">
                  <c:v>-51</c:v>
                </c:pt>
                <c:pt idx="12">
                  <c:v>-47</c:v>
                </c:pt>
                <c:pt idx="13">
                  <c:v>-19</c:v>
                </c:pt>
                <c:pt idx="14">
                  <c:v>39</c:v>
                </c:pt>
                <c:pt idx="15">
                  <c:v>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B2-4C72-AB8A-B589B394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736128"/>
        <c:axId val="262738304"/>
      </c:scatterChart>
      <c:valAx>
        <c:axId val="262736128"/>
        <c:scaling>
          <c:orientation val="minMax"/>
          <c:max val="10"/>
          <c:min val="-10"/>
        </c:scaling>
        <c:delete val="0"/>
        <c:axPos val="b"/>
        <c:majorGridlines>
          <c:spPr>
            <a:ln w="19050"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5400"/>
        </c:spPr>
        <c:crossAx val="262738304"/>
        <c:crosses val="autoZero"/>
        <c:crossBetween val="midCat"/>
        <c:majorUnit val="1"/>
        <c:minorUnit val="1"/>
      </c:valAx>
      <c:valAx>
        <c:axId val="262738304"/>
        <c:scaling>
          <c:orientation val="minMax"/>
          <c:max val="150"/>
          <c:min val="-250"/>
        </c:scaling>
        <c:delete val="0"/>
        <c:axPos val="l"/>
        <c:majorGridlines>
          <c:spPr>
            <a:ln w="19050"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4503187101612298E-2"/>
              <c:y val="0.4477546562609550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/>
        </c:spPr>
        <c:crossAx val="262736128"/>
        <c:crosses val="autoZero"/>
        <c:crossBetween val="midCat"/>
        <c:majorUnit val="5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кусочно-заданной функции</a:t>
            </a:r>
            <a:endParaRPr lang="ru-RU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'Задание 2'!$A$8:$A$18</c:f>
              <c:numCache>
                <c:formatCode>0.00</c:formatCode>
                <c:ptCount val="1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</c:numCache>
            </c:numRef>
          </c:xVal>
          <c:yVal>
            <c:numRef>
              <c:f>'Задание 2'!$B$8:$B$18</c:f>
              <c:numCache>
                <c:formatCode>0.0000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0.2</c:v>
                </c:pt>
                <c:pt idx="5">
                  <c:v>0.21021071050902518</c:v>
                </c:pt>
                <c:pt idx="6">
                  <c:v>0.23573759962332944</c:v>
                </c:pt>
                <c:pt idx="7">
                  <c:v>0.27355075941546025</c:v>
                </c:pt>
                <c:pt idx="8">
                  <c:v>0.32336133444833493</c:v>
                </c:pt>
                <c:pt idx="9">
                  <c:v>1.2605849106681348</c:v>
                </c:pt>
                <c:pt idx="10">
                  <c:v>1.0721433941446834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A8-4D9C-A7A3-6461AF6CE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797568"/>
        <c:axId val="262799744"/>
      </c:scatterChart>
      <c:valAx>
        <c:axId val="262797568"/>
        <c:scaling>
          <c:orientation val="minMax"/>
          <c:max val="2.5"/>
        </c:scaling>
        <c:delete val="0"/>
        <c:axPos val="b"/>
        <c:majorGridlines>
          <c:spPr>
            <a:ln w="15875"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25400"/>
        </c:spPr>
        <c:crossAx val="262799744"/>
        <c:crosses val="autoZero"/>
        <c:crossBetween val="midCat"/>
        <c:majorUnit val="0.25"/>
      </c:valAx>
      <c:valAx>
        <c:axId val="262799744"/>
        <c:scaling>
          <c:orientation val="minMax"/>
          <c:max val="2.3099999999999996"/>
        </c:scaling>
        <c:delete val="0"/>
        <c:axPos val="l"/>
        <c:majorGridlines>
          <c:spPr>
            <a:ln w="15875"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25400"/>
        </c:spPr>
        <c:crossAx val="262797568"/>
        <c:crosses val="autoZero"/>
        <c:crossBetween val="midCat"/>
        <c:majorUnit val="0.33000000000000007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кусочно-заданной функции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2791557305336832E-2"/>
          <c:y val="0.19480351414406533"/>
          <c:w val="0.89516688538932632"/>
          <c:h val="0.69776574803149605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'Задание 2'!$M$8:$M$28</c:f>
              <c:numCache>
                <c:formatCode>0.00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'Задание 2'!$N$8:$N$28</c:f>
              <c:numCache>
                <c:formatCode>0.000000</c:formatCode>
                <c:ptCount val="21"/>
                <c:pt idx="0">
                  <c:v>2.9699774898013365</c:v>
                </c:pt>
                <c:pt idx="1">
                  <c:v>0.42336002417960006</c:v>
                </c:pt>
                <c:pt idx="2">
                  <c:v>-2.9699774898013365</c:v>
                </c:pt>
                <c:pt idx="3">
                  <c:v>5.9998898542026016</c:v>
                </c:pt>
                <c:pt idx="4">
                  <c:v>5.9995063607836538</c:v>
                </c:pt>
                <c:pt idx="5">
                  <c:v>5.9977876625194089</c:v>
                </c:pt>
                <c:pt idx="6">
                  <c:v>5.9900849912933349</c:v>
                </c:pt>
                <c:pt idx="7">
                  <c:v>5.9555640138470309</c:v>
                </c:pt>
                <c:pt idx="8">
                  <c:v>5.8008517265285438</c:v>
                </c:pt>
                <c:pt idx="9">
                  <c:v>5.1074793594062804</c:v>
                </c:pt>
                <c:pt idx="10">
                  <c:v>2</c:v>
                </c:pt>
                <c:pt idx="11">
                  <c:v>11.926756281352258</c:v>
                </c:pt>
                <c:pt idx="12">
                  <c:v>74.342147692750672</c:v>
                </c:pt>
                <c:pt idx="13">
                  <c:v>354.06852520208724</c:v>
                </c:pt>
                <c:pt idx="14">
                  <c:v>1607.7151739709404</c:v>
                </c:pt>
                <c:pt idx="15">
                  <c:v>7226.1696578242527</c:v>
                </c:pt>
                <c:pt idx="16">
                  <c:v>32406.335710301537</c:v>
                </c:pt>
                <c:pt idx="17">
                  <c:v>145256.01069698654</c:v>
                </c:pt>
                <c:pt idx="18">
                  <c:v>651013.16567601566</c:v>
                </c:pt>
                <c:pt idx="19">
                  <c:v>0.5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44-4E9A-A6EF-D9D02D67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830720"/>
        <c:axId val="262849280"/>
      </c:scatterChart>
      <c:valAx>
        <c:axId val="262830720"/>
        <c:scaling>
          <c:orientation val="minMax"/>
          <c:max val="6"/>
        </c:scaling>
        <c:delete val="0"/>
        <c:axPos val="b"/>
        <c:majorGridlines>
          <c:spPr>
            <a:ln w="15875"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25400"/>
        </c:spPr>
        <c:crossAx val="262849280"/>
        <c:crosses val="autoZero"/>
        <c:crossBetween val="midCat"/>
        <c:majorUnit val="1"/>
      </c:valAx>
      <c:valAx>
        <c:axId val="262849280"/>
        <c:scaling>
          <c:orientation val="minMax"/>
        </c:scaling>
        <c:delete val="0"/>
        <c:axPos val="l"/>
        <c:majorGridlines>
          <c:spPr>
            <a:ln w="15875"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25400"/>
        </c:spPr>
        <c:crossAx val="262830720"/>
        <c:crosses val="autoZero"/>
        <c:crossBetween val="midCat"/>
        <c:majorUnit val="10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Аппроксимация</a:t>
            </a:r>
            <a:r>
              <a:rPr lang="ru-RU" sz="1200" baseline="0"/>
              <a:t> экспериментальных данных</a:t>
            </a:r>
            <a:endParaRPr lang="en-US" sz="1200" baseline="0"/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 sz="12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'Задание 3'!$B$3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15875">
                <a:solidFill>
                  <a:srgbClr val="FF0000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-7.4294507524894998E-2"/>
                  <c:y val="-0.5212968531694994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b="1"/>
                  </a:pPr>
                  <a:endParaRPr lang="ru-RU"/>
                </a:p>
              </c:txPr>
            </c:trendlineLbl>
          </c:trendline>
          <c:xVal>
            <c:numRef>
              <c:f>'Задание 3'!$A$4:$A$18</c:f>
              <c:numCache>
                <c:formatCode>0.0</c:formatCode>
                <c:ptCount val="1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</c:numCache>
            </c:numRef>
          </c:xVal>
          <c:yVal>
            <c:numRef>
              <c:f>'Задание 3'!$B$4:$B$18</c:f>
              <c:numCache>
                <c:formatCode>0.0000</c:formatCode>
                <c:ptCount val="15"/>
                <c:pt idx="0">
                  <c:v>0.56520000000000004</c:v>
                </c:pt>
                <c:pt idx="1">
                  <c:v>0.7</c:v>
                </c:pt>
                <c:pt idx="2">
                  <c:v>0.8861</c:v>
                </c:pt>
                <c:pt idx="3">
                  <c:v>1.1000000000000001</c:v>
                </c:pt>
                <c:pt idx="4">
                  <c:v>1.3171999999999999</c:v>
                </c:pt>
                <c:pt idx="5">
                  <c:v>1.4905999999999999</c:v>
                </c:pt>
                <c:pt idx="6">
                  <c:v>1.58</c:v>
                </c:pt>
                <c:pt idx="7">
                  <c:v>1.3982000000000001</c:v>
                </c:pt>
                <c:pt idx="8">
                  <c:v>1.3171999999999999</c:v>
                </c:pt>
                <c:pt idx="9">
                  <c:v>1.0999000000000001</c:v>
                </c:pt>
                <c:pt idx="10">
                  <c:v>0.89800000000000002</c:v>
                </c:pt>
                <c:pt idx="11">
                  <c:v>0.66</c:v>
                </c:pt>
                <c:pt idx="12">
                  <c:v>0.39</c:v>
                </c:pt>
                <c:pt idx="13">
                  <c:v>0.251</c:v>
                </c:pt>
                <c:pt idx="14">
                  <c:v>0.221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F8-4922-918B-A5252FF0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006080"/>
        <c:axId val="263012352"/>
      </c:scatterChart>
      <c:valAx>
        <c:axId val="263006080"/>
        <c:scaling>
          <c:orientation val="minMax"/>
        </c:scaling>
        <c:delete val="0"/>
        <c:axPos val="b"/>
        <c:majorGridlines>
          <c:spPr>
            <a:ln w="15875"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spPr>
          <a:ln w="25400"/>
        </c:spPr>
        <c:crossAx val="263012352"/>
        <c:crosses val="autoZero"/>
        <c:crossBetween val="midCat"/>
        <c:majorUnit val="0.2"/>
      </c:valAx>
      <c:valAx>
        <c:axId val="263012352"/>
        <c:scaling>
          <c:orientation val="minMax"/>
        </c:scaling>
        <c:delete val="0"/>
        <c:axPos val="l"/>
        <c:majorGridlines>
          <c:spPr>
            <a:ln w="15875"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25400"/>
        </c:spPr>
        <c:crossAx val="2630060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200"/>
              <a:t>Аппроксимация</a:t>
            </a:r>
            <a:r>
              <a:rPr lang="ru-RU" sz="1200" baseline="0"/>
              <a:t> экспериментальных данных</a:t>
            </a:r>
            <a:endParaRPr lang="en-US" sz="1200"/>
          </a:p>
        </c:rich>
      </c:tx>
      <c:layout>
        <c:manualLayout>
          <c:xMode val="edge"/>
          <c:yMode val="edge"/>
          <c:x val="0.24643453659201692"/>
          <c:y val="3.41296928327645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576462033154953E-2"/>
          <c:y val="0.25264632023386152"/>
          <c:w val="0.88961132983377078"/>
          <c:h val="0.60629410906969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3'!$N$3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15875">
                <a:solidFill>
                  <a:srgbClr val="FF0000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-8.9085455227187506E-3"/>
                  <c:y val="-0.5220735206733970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b="1"/>
                  </a:pPr>
                  <a:endParaRPr lang="ru-RU"/>
                </a:p>
              </c:txPr>
            </c:trendlineLbl>
          </c:trendline>
          <c:xVal>
            <c:numRef>
              <c:f>'Задание 3'!$M$4:$M$9</c:f>
              <c:numCache>
                <c:formatCode>General</c:formatCode>
                <c:ptCount val="6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'Задание 3'!$N$4:$N$9</c:f>
              <c:numCache>
                <c:formatCode>General</c:formatCode>
                <c:ptCount val="6"/>
                <c:pt idx="0">
                  <c:v>-112</c:v>
                </c:pt>
                <c:pt idx="1">
                  <c:v>-286</c:v>
                </c:pt>
                <c:pt idx="2">
                  <c:v>-304</c:v>
                </c:pt>
                <c:pt idx="3">
                  <c:v>-295</c:v>
                </c:pt>
                <c:pt idx="4">
                  <c:v>-400</c:v>
                </c:pt>
                <c:pt idx="5">
                  <c:v>-362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F7-4A96-BBDF-5E640CEDE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042176"/>
        <c:axId val="263044096"/>
      </c:scatterChart>
      <c:valAx>
        <c:axId val="263042176"/>
        <c:scaling>
          <c:orientation val="minMax"/>
        </c:scaling>
        <c:delete val="0"/>
        <c:axPos val="b"/>
        <c:majorGridlines>
          <c:spPr>
            <a:ln w="15875" cap="flat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6240829744766752"/>
              <c:y val="0.8665248328600563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/>
        </c:spPr>
        <c:crossAx val="263044096"/>
        <c:crosses val="autoZero"/>
        <c:crossBetween val="midCat"/>
      </c:valAx>
      <c:valAx>
        <c:axId val="263044096"/>
        <c:scaling>
          <c:orientation val="minMax"/>
        </c:scaling>
        <c:delete val="0"/>
        <c:axPos val="l"/>
        <c:majorGridlines>
          <c:spPr>
            <a:ln w="15875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1793298564952109E-2"/>
              <c:y val="0.2399135261675907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/>
        </c:spPr>
        <c:txPr>
          <a:bodyPr/>
          <a:lstStyle/>
          <a:p>
            <a:pPr>
              <a:defRPr b="0"/>
            </a:pPr>
            <a:endParaRPr lang="ru-RU"/>
          </a:p>
        </c:txPr>
        <c:crossAx val="26304217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6729155730533682"/>
          <c:y val="0.9023939195100612"/>
          <c:w val="0.40295815295815296"/>
          <c:h val="6.85738088199725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ru-RU" sz="1400"/>
              <a:t>Средний</a:t>
            </a:r>
            <a:r>
              <a:rPr lang="ru-RU" sz="1400" baseline="0"/>
              <a:t> балл по предметам</a:t>
            </a:r>
            <a:endParaRPr lang="ru-RU" sz="1400"/>
          </a:p>
        </c:rich>
      </c:tx>
      <c:overlay val="0"/>
    </c:title>
    <c:autoTitleDeleted val="0"/>
    <c:view3D>
      <c:rotX val="20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4016185476815399E-2"/>
          <c:y val="0.15750747939724319"/>
          <c:w val="0.9215432440584721"/>
          <c:h val="0.6718499348420607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E-45AA-8B08-39F4F35A341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E-45AA-8B08-39F4F35A341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E-45AA-8B08-39F4F35A341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E-45AA-8B08-39F4F35A34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6'!$C$2:$F$2</c:f>
              <c:strCache>
                <c:ptCount val="4"/>
                <c:pt idx="0">
                  <c:v>Математика</c:v>
                </c:pt>
                <c:pt idx="1">
                  <c:v>Физика</c:v>
                </c:pt>
                <c:pt idx="2">
                  <c:v>Информатика</c:v>
                </c:pt>
                <c:pt idx="3">
                  <c:v>Обществознание</c:v>
                </c:pt>
              </c:strCache>
            </c:strRef>
          </c:cat>
          <c:val>
            <c:numRef>
              <c:f>'Задание 6'!$C$13:$F$13</c:f>
              <c:numCache>
                <c:formatCode>0.00</c:formatCode>
                <c:ptCount val="4"/>
                <c:pt idx="0">
                  <c:v>4.4285714285714288</c:v>
                </c:pt>
                <c:pt idx="1">
                  <c:v>3.7777777777777777</c:v>
                </c:pt>
                <c:pt idx="2">
                  <c:v>4</c:v>
                </c:pt>
                <c:pt idx="3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E-45AA-8B08-39F4F35A3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1906432"/>
        <c:axId val="261907968"/>
        <c:axId val="0"/>
      </c:bar3DChart>
      <c:catAx>
        <c:axId val="26190643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0"/>
        <c:majorTickMark val="none"/>
        <c:minorTickMark val="none"/>
        <c:tickLblPos val="nextTo"/>
        <c:spPr>
          <a:ln/>
        </c:spPr>
        <c:txPr>
          <a:bodyPr rot="0" vert="horz" anchor="b" anchorCtr="1"/>
          <a:lstStyle/>
          <a:p>
            <a:pPr>
              <a:defRPr sz="800" baseline="0"/>
            </a:pPr>
            <a:endParaRPr lang="ru-RU"/>
          </a:p>
        </c:txPr>
        <c:crossAx val="261907968"/>
        <c:crosses val="autoZero"/>
        <c:auto val="1"/>
        <c:lblAlgn val="r"/>
        <c:lblOffset val="100"/>
        <c:tickLblSkip val="1"/>
        <c:noMultiLvlLbl val="0"/>
      </c:catAx>
      <c:valAx>
        <c:axId val="261907968"/>
        <c:scaling>
          <c:orientation val="minMax"/>
          <c:max val="5"/>
          <c:min val="0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261906432"/>
        <c:crossesAt val="1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Цена</a:t>
            </a:r>
            <a:r>
              <a:rPr lang="ru-RU" b="1" baseline="0">
                <a:solidFill>
                  <a:schemeClr val="tx1"/>
                </a:solidFill>
              </a:rPr>
              <a:t> в рублях</a:t>
            </a:r>
            <a:endParaRPr lang="ru-RU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0.17171296296296296"/>
          <c:w val="0.85219685039370074"/>
          <c:h val="0.5192016622922134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'Задание 6'!$V$3:$V$13</c:f>
              <c:strCache>
                <c:ptCount val="11"/>
                <c:pt idx="0">
                  <c:v>HP Pavilion</c:v>
                </c:pt>
                <c:pt idx="1">
                  <c:v>Dell Inspiron</c:v>
                </c:pt>
                <c:pt idx="2">
                  <c:v>Lenovo ThinkPad</c:v>
                </c:pt>
                <c:pt idx="3">
                  <c:v>Acer Asprire</c:v>
                </c:pt>
                <c:pt idx="4">
                  <c:v>Asus ROG</c:v>
                </c:pt>
                <c:pt idx="5">
                  <c:v>Apple iMac</c:v>
                </c:pt>
                <c:pt idx="6">
                  <c:v>Microsoft Surface</c:v>
                </c:pt>
                <c:pt idx="7">
                  <c:v>Samsung Odyssey</c:v>
                </c:pt>
                <c:pt idx="8">
                  <c:v>HP EliteBook</c:v>
                </c:pt>
                <c:pt idx="9">
                  <c:v>Dell Latitude</c:v>
                </c:pt>
                <c:pt idx="10">
                  <c:v>Lenovo ThinkCentre</c:v>
                </c:pt>
              </c:strCache>
            </c:strRef>
          </c:cat>
          <c:val>
            <c:numRef>
              <c:f>'Задание 6'!$Z$3:$Z$13</c:f>
              <c:numCache>
                <c:formatCode>0</c:formatCode>
                <c:ptCount val="11"/>
                <c:pt idx="0">
                  <c:v>72208</c:v>
                </c:pt>
                <c:pt idx="1">
                  <c:v>108312</c:v>
                </c:pt>
                <c:pt idx="2">
                  <c:v>90260</c:v>
                </c:pt>
                <c:pt idx="3">
                  <c:v>45130</c:v>
                </c:pt>
                <c:pt idx="4">
                  <c:v>135390</c:v>
                </c:pt>
                <c:pt idx="5">
                  <c:v>180520</c:v>
                </c:pt>
                <c:pt idx="6">
                  <c:v>81234</c:v>
                </c:pt>
                <c:pt idx="7">
                  <c:v>99286</c:v>
                </c:pt>
                <c:pt idx="8">
                  <c:v>63182</c:v>
                </c:pt>
                <c:pt idx="9">
                  <c:v>54156</c:v>
                </c:pt>
                <c:pt idx="10">
                  <c:v>36104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E-45CD-9655-36CB754E0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7459424"/>
        <c:axId val="427455160"/>
        <c:axId val="0"/>
      </c:bar3DChart>
      <c:catAx>
        <c:axId val="4274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455160"/>
        <c:crosses val="autoZero"/>
        <c:auto val="1"/>
        <c:lblAlgn val="ctr"/>
        <c:lblOffset val="100"/>
        <c:tickLblSkip val="1"/>
        <c:noMultiLvlLbl val="0"/>
      </c:catAx>
      <c:valAx>
        <c:axId val="42745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45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254149</xdr:colOff>
      <xdr:row>3</xdr:row>
      <xdr:rowOff>57598</xdr:rowOff>
    </xdr:from>
    <xdr:to>
      <xdr:col>10</xdr:col>
      <xdr:colOff>558949</xdr:colOff>
      <xdr:row>18</xdr:row>
      <xdr:rowOff>57598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180190</xdr:colOff>
      <xdr:row>3</xdr:row>
      <xdr:rowOff>79338</xdr:rowOff>
    </xdr:from>
    <xdr:to>
      <xdr:col>22</xdr:col>
      <xdr:colOff>241150</xdr:colOff>
      <xdr:row>18</xdr:row>
      <xdr:rowOff>170778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143436</xdr:colOff>
      <xdr:row>24</xdr:row>
      <xdr:rowOff>116541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85412" y="49843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17930</xdr:colOff>
      <xdr:row>22</xdr:row>
      <xdr:rowOff>98611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050306" y="42223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0.09034</cdr:x>
      <cdr:y>0.08964</cdr:y>
    </cdr:from>
    <cdr:to>
      <cdr:x>0.25517</cdr:x>
      <cdr:y>0.40329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1127" y="26132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6</xdr:row>
      <xdr:rowOff>3810</xdr:rowOff>
    </xdr:from>
    <xdr:to>
      <xdr:col>9</xdr:col>
      <xdr:colOff>449580</xdr:colOff>
      <xdr:row>20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68580</xdr:colOff>
      <xdr:row>0</xdr:row>
      <xdr:rowOff>45720</xdr:rowOff>
    </xdr:from>
    <xdr:to>
      <xdr:col>6</xdr:col>
      <xdr:colOff>480060</xdr:colOff>
      <xdr:row>5</xdr:row>
      <xdr:rowOff>134389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45720"/>
          <a:ext cx="2240280" cy="1018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396240</xdr:colOff>
      <xdr:row>7</xdr:row>
      <xdr:rowOff>149220</xdr:rowOff>
    </xdr:from>
    <xdr:to>
      <xdr:col>4</xdr:col>
      <xdr:colOff>487680</xdr:colOff>
      <xdr:row>9</xdr:row>
      <xdr:rowOff>137196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4600" y="1467480"/>
          <a:ext cx="701040" cy="3537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106680</xdr:rowOff>
    </xdr:from>
    <xdr:to>
      <xdr:col>7</xdr:col>
      <xdr:colOff>411568</xdr:colOff>
      <xdr:row>15</xdr:row>
      <xdr:rowOff>129574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7160" y="2567940"/>
          <a:ext cx="1021168" cy="388654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9</xdr:row>
      <xdr:rowOff>182880</xdr:rowOff>
    </xdr:from>
    <xdr:to>
      <xdr:col>9</xdr:col>
      <xdr:colOff>297261</xdr:colOff>
      <xdr:row>11</xdr:row>
      <xdr:rowOff>152429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35880" y="1882140"/>
          <a:ext cx="937341" cy="335309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0</xdr:row>
      <xdr:rowOff>91440</xdr:rowOff>
    </xdr:from>
    <xdr:to>
      <xdr:col>20</xdr:col>
      <xdr:colOff>518410</xdr:colOff>
      <xdr:row>7</xdr:row>
      <xdr:rowOff>152518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02240" y="91440"/>
          <a:ext cx="2880610" cy="1364098"/>
        </a:xfrm>
        <a:prstGeom prst="rect">
          <a:avLst/>
        </a:prstGeom>
      </xdr:spPr>
    </xdr:pic>
    <xdr:clientData/>
  </xdr:twoCellAnchor>
  <xdr:twoCellAnchor>
    <xdr:from>
      <xdr:col>14</xdr:col>
      <xdr:colOff>449580</xdr:colOff>
      <xdr:row>8</xdr:row>
      <xdr:rowOff>95250</xdr:rowOff>
    </xdr:from>
    <xdr:to>
      <xdr:col>22</xdr:col>
      <xdr:colOff>144780</xdr:colOff>
      <xdr:row>22</xdr:row>
      <xdr:rowOff>171450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579120</xdr:colOff>
      <xdr:row>17</xdr:row>
      <xdr:rowOff>175260</xdr:rowOff>
    </xdr:from>
    <xdr:to>
      <xdr:col>16</xdr:col>
      <xdr:colOff>396330</xdr:colOff>
      <xdr:row>19</xdr:row>
      <xdr:rowOff>45741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89820" y="3398520"/>
          <a:ext cx="1036410" cy="243861"/>
        </a:xfrm>
        <a:prstGeom prst="rect">
          <a:avLst/>
        </a:prstGeom>
      </xdr:spPr>
    </xdr:pic>
    <xdr:clientData/>
  </xdr:twoCellAnchor>
  <xdr:twoCellAnchor editAs="oneCell">
    <xdr:from>
      <xdr:col>21</xdr:col>
      <xdr:colOff>22860</xdr:colOff>
      <xdr:row>12</xdr:row>
      <xdr:rowOff>83820</xdr:rowOff>
    </xdr:from>
    <xdr:to>
      <xdr:col>21</xdr:col>
      <xdr:colOff>579168</xdr:colOff>
      <xdr:row>14</xdr:row>
      <xdr:rowOff>30507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00760" y="2354580"/>
          <a:ext cx="556308" cy="312447"/>
        </a:xfrm>
        <a:prstGeom prst="rect">
          <a:avLst/>
        </a:prstGeom>
      </xdr:spPr>
    </xdr:pic>
    <xdr:clientData/>
  </xdr:twoCellAnchor>
  <xdr:twoCellAnchor editAs="oneCell">
    <xdr:from>
      <xdr:col>18</xdr:col>
      <xdr:colOff>434340</xdr:colOff>
      <xdr:row>16</xdr:row>
      <xdr:rowOff>169214</xdr:rowOff>
    </xdr:from>
    <xdr:to>
      <xdr:col>20</xdr:col>
      <xdr:colOff>99060</xdr:colOff>
      <xdr:row>19</xdr:row>
      <xdr:rowOff>76250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83440" y="3201974"/>
          <a:ext cx="883920" cy="463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</xdr:row>
      <xdr:rowOff>80010</xdr:rowOff>
    </xdr:from>
    <xdr:to>
      <xdr:col>11</xdr:col>
      <xdr:colOff>198120</xdr:colOff>
      <xdr:row>19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1</xdr:row>
      <xdr:rowOff>49530</xdr:rowOff>
    </xdr:from>
    <xdr:to>
      <xdr:col>22</xdr:col>
      <xdr:colOff>441960</xdr:colOff>
      <xdr:row>19</xdr:row>
      <xdr:rowOff>106680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83820</xdr:rowOff>
    </xdr:from>
    <xdr:to>
      <xdr:col>7</xdr:col>
      <xdr:colOff>373626</xdr:colOff>
      <xdr:row>4</xdr:row>
      <xdr:rowOff>147244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83820"/>
          <a:ext cx="2088126" cy="794944"/>
        </a:xfrm>
        <a:prstGeom prst="rect">
          <a:avLst/>
        </a:prstGeom>
      </xdr:spPr>
    </xdr:pic>
    <xdr:clientData/>
  </xdr:twoCellAnchor>
  <xdr:twoCellAnchor editAs="oneCell">
    <xdr:from>
      <xdr:col>12</xdr:col>
      <xdr:colOff>594361</xdr:colOff>
      <xdr:row>0</xdr:row>
      <xdr:rowOff>121920</xdr:rowOff>
    </xdr:from>
    <xdr:to>
      <xdr:col>16</xdr:col>
      <xdr:colOff>7621</xdr:colOff>
      <xdr:row>4</xdr:row>
      <xdr:rowOff>81843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7681" y="121920"/>
          <a:ext cx="1851660" cy="6914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83821</xdr:colOff>
      <xdr:row>11</xdr:row>
      <xdr:rowOff>121920</xdr:rowOff>
    </xdr:from>
    <xdr:to>
      <xdr:col>12</xdr:col>
      <xdr:colOff>960121</xdr:colOff>
      <xdr:row>15</xdr:row>
      <xdr:rowOff>165513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1381" y="2346960"/>
          <a:ext cx="1699260" cy="79035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16</xdr:row>
      <xdr:rowOff>144780</xdr:rowOff>
    </xdr:from>
    <xdr:to>
      <xdr:col>1</xdr:col>
      <xdr:colOff>746823</xdr:colOff>
      <xdr:row>20</xdr:row>
      <xdr:rowOff>68639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" y="3307080"/>
          <a:ext cx="731583" cy="6858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1</xdr:row>
      <xdr:rowOff>316230</xdr:rowOff>
    </xdr:from>
    <xdr:to>
      <xdr:col>18</xdr:col>
      <xdr:colOff>121920</xdr:colOff>
      <xdr:row>10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106680</xdr:colOff>
      <xdr:row>1</xdr:row>
      <xdr:rowOff>11430</xdr:rowOff>
    </xdr:from>
    <xdr:to>
      <xdr:col>35</xdr:col>
      <xdr:colOff>594360</xdr:colOff>
      <xdr:row>4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97818E-9AA8-49DF-9172-7562821A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28</xdr:col>
      <xdr:colOff>128014</xdr:colOff>
      <xdr:row>4</xdr:row>
      <xdr:rowOff>45721</xdr:rowOff>
    </xdr:from>
    <xdr:to>
      <xdr:col>35</xdr:col>
      <xdr:colOff>350520</xdr:colOff>
      <xdr:row>14</xdr:row>
      <xdr:rowOff>384493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B16F119-BB3B-4D99-83B0-00BD6B80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85534" y="2964181"/>
          <a:ext cx="4383026" cy="2373312"/>
        </a:xfrm>
        <a:prstGeom prst="rect">
          <a:avLst/>
        </a:prstGeom>
      </xdr:spPr>
    </xdr:pic>
    <xdr:clientData/>
  </xdr:twoCellAnchor>
  <xdr:twoCellAnchor editAs="oneCell">
    <xdr:from>
      <xdr:col>10</xdr:col>
      <xdr:colOff>205741</xdr:colOff>
      <xdr:row>11</xdr:row>
      <xdr:rowOff>114300</xdr:rowOff>
    </xdr:from>
    <xdr:to>
      <xdr:col>18</xdr:col>
      <xdr:colOff>195943</xdr:colOff>
      <xdr:row>16</xdr:row>
      <xdr:rowOff>449580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3978434-6F78-44CE-AF79-6449F563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51321" y="4328160"/>
          <a:ext cx="4867002" cy="220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5"/>
  <sheetViews>
    <sheetView topLeftCell="B1" zoomScale="85" zoomScaleNormal="85" workbookViewId="0">
      <selection activeCell="T24" sqref="T24:U25"/>
    </sheetView>
  </sheetViews>
  <sheetFormatPr defaultRowHeight="14.4" x14ac:dyDescent="0.3"/>
  <cols>
    <col min="2" max="2" width="11.109375" customWidth="1"/>
    <col min="3" max="3" width="14" customWidth="1"/>
    <col min="5" max="5" width="10" customWidth="1"/>
    <col min="6" max="6" width="13.33203125" customWidth="1"/>
    <col min="8" max="8" width="11.77734375" customWidth="1"/>
    <col min="9" max="9" width="12.44140625" customWidth="1"/>
    <col min="14" max="14" width="13.6640625" customWidth="1"/>
    <col min="15" max="15" width="13.44140625" customWidth="1"/>
    <col min="17" max="17" width="13.33203125" customWidth="1"/>
    <col min="18" max="18" width="12.77734375" customWidth="1"/>
    <col min="20" max="20" width="13" customWidth="1"/>
    <col min="21" max="21" width="14.21875" customWidth="1"/>
  </cols>
  <sheetData>
    <row r="2" spans="2:15" x14ac:dyDescent="0.3">
      <c r="B2" s="1" t="s">
        <v>7</v>
      </c>
      <c r="F2" s="1"/>
      <c r="N2" s="1" t="s">
        <v>8</v>
      </c>
    </row>
    <row r="3" spans="2:15" ht="15" thickBot="1" x14ac:dyDescent="0.35"/>
    <row r="4" spans="2:15" x14ac:dyDescent="0.3">
      <c r="B4" s="59" t="s">
        <v>0</v>
      </c>
      <c r="C4" s="54" t="s">
        <v>1</v>
      </c>
      <c r="N4" s="59" t="s">
        <v>0</v>
      </c>
      <c r="O4" s="54" t="s">
        <v>1</v>
      </c>
    </row>
    <row r="5" spans="2:15" x14ac:dyDescent="0.3">
      <c r="B5" s="60">
        <v>-3.5</v>
      </c>
      <c r="C5" s="57">
        <f>SIN(B5)</f>
        <v>0.35078322768961984</v>
      </c>
      <c r="N5" s="48">
        <v>-8</v>
      </c>
      <c r="O5" s="49">
        <f>N5^3-33*N5+21</f>
        <v>-227</v>
      </c>
    </row>
    <row r="6" spans="2:15" x14ac:dyDescent="0.3">
      <c r="B6" s="60">
        <v>-3</v>
      </c>
      <c r="C6" s="57">
        <f t="shared" ref="C6:C19" si="0">SIN(B6)</f>
        <v>-0.14112000805986721</v>
      </c>
      <c r="N6" s="48">
        <v>-7</v>
      </c>
      <c r="O6" s="49">
        <f t="shared" ref="O6:O19" si="1">N6^3-33*N6+21</f>
        <v>-91</v>
      </c>
    </row>
    <row r="7" spans="2:15" x14ac:dyDescent="0.3">
      <c r="B7" s="60">
        <v>-2.5</v>
      </c>
      <c r="C7" s="57">
        <f t="shared" si="0"/>
        <v>-0.59847214410395655</v>
      </c>
      <c r="N7" s="48">
        <v>-6</v>
      </c>
      <c r="O7" s="49">
        <f t="shared" si="1"/>
        <v>3</v>
      </c>
    </row>
    <row r="8" spans="2:15" x14ac:dyDescent="0.3">
      <c r="B8" s="60">
        <v>-2</v>
      </c>
      <c r="C8" s="57">
        <f t="shared" si="0"/>
        <v>-0.90929742682568171</v>
      </c>
      <c r="N8" s="48">
        <v>-5</v>
      </c>
      <c r="O8" s="49">
        <f t="shared" si="1"/>
        <v>61</v>
      </c>
    </row>
    <row r="9" spans="2:15" x14ac:dyDescent="0.3">
      <c r="B9" s="60">
        <v>-1.5</v>
      </c>
      <c r="C9" s="57">
        <f t="shared" si="0"/>
        <v>-0.99749498660405445</v>
      </c>
      <c r="N9" s="48">
        <v>-4</v>
      </c>
      <c r="O9" s="49">
        <f t="shared" si="1"/>
        <v>89</v>
      </c>
    </row>
    <row r="10" spans="2:15" x14ac:dyDescent="0.3">
      <c r="B10" s="60">
        <v>-1</v>
      </c>
      <c r="C10" s="57">
        <f t="shared" si="0"/>
        <v>-0.8414709848078965</v>
      </c>
      <c r="N10" s="48">
        <v>-3</v>
      </c>
      <c r="O10" s="49">
        <f t="shared" si="1"/>
        <v>93</v>
      </c>
    </row>
    <row r="11" spans="2:15" x14ac:dyDescent="0.3">
      <c r="B11" s="60">
        <v>-0.5</v>
      </c>
      <c r="C11" s="57">
        <f t="shared" si="0"/>
        <v>-0.47942553860420301</v>
      </c>
      <c r="N11" s="48">
        <v>-2</v>
      </c>
      <c r="O11" s="49">
        <f t="shared" si="1"/>
        <v>79</v>
      </c>
    </row>
    <row r="12" spans="2:15" x14ac:dyDescent="0.3">
      <c r="B12" s="60">
        <v>0</v>
      </c>
      <c r="C12" s="57">
        <f t="shared" si="0"/>
        <v>0</v>
      </c>
      <c r="N12" s="48">
        <v>-1</v>
      </c>
      <c r="O12" s="49">
        <f t="shared" si="1"/>
        <v>53</v>
      </c>
    </row>
    <row r="13" spans="2:15" x14ac:dyDescent="0.3">
      <c r="B13" s="60">
        <v>0.5</v>
      </c>
      <c r="C13" s="57">
        <f t="shared" si="0"/>
        <v>0.47942553860420301</v>
      </c>
      <c r="N13" s="48">
        <v>0</v>
      </c>
      <c r="O13" s="49">
        <f t="shared" si="1"/>
        <v>21</v>
      </c>
    </row>
    <row r="14" spans="2:15" x14ac:dyDescent="0.3">
      <c r="B14" s="60">
        <v>1</v>
      </c>
      <c r="C14" s="57">
        <f t="shared" si="0"/>
        <v>0.8414709848078965</v>
      </c>
      <c r="N14" s="48">
        <v>1</v>
      </c>
      <c r="O14" s="49">
        <f t="shared" si="1"/>
        <v>-11</v>
      </c>
    </row>
    <row r="15" spans="2:15" x14ac:dyDescent="0.3">
      <c r="B15" s="60">
        <v>1.5</v>
      </c>
      <c r="C15" s="57">
        <f t="shared" si="0"/>
        <v>0.99749498660405445</v>
      </c>
      <c r="N15" s="48">
        <v>2</v>
      </c>
      <c r="O15" s="49">
        <f t="shared" si="1"/>
        <v>-37</v>
      </c>
    </row>
    <row r="16" spans="2:15" x14ac:dyDescent="0.3">
      <c r="B16" s="60">
        <v>2</v>
      </c>
      <c r="C16" s="57">
        <f t="shared" si="0"/>
        <v>0.90929742682568171</v>
      </c>
      <c r="N16" s="48">
        <v>3</v>
      </c>
      <c r="O16" s="49">
        <f t="shared" si="1"/>
        <v>-51</v>
      </c>
    </row>
    <row r="17" spans="2:21" x14ac:dyDescent="0.3">
      <c r="B17" s="60">
        <v>2.5</v>
      </c>
      <c r="C17" s="57">
        <f t="shared" si="0"/>
        <v>0.59847214410395655</v>
      </c>
      <c r="N17" s="48">
        <v>4</v>
      </c>
      <c r="O17" s="49">
        <f t="shared" si="1"/>
        <v>-47</v>
      </c>
    </row>
    <row r="18" spans="2:21" x14ac:dyDescent="0.3">
      <c r="B18" s="60">
        <v>3</v>
      </c>
      <c r="C18" s="57">
        <f t="shared" si="0"/>
        <v>0.14112000805986721</v>
      </c>
      <c r="N18" s="48">
        <v>5</v>
      </c>
      <c r="O18" s="49">
        <f>N18^3-33*N18+21</f>
        <v>-19</v>
      </c>
    </row>
    <row r="19" spans="2:21" x14ac:dyDescent="0.3">
      <c r="B19" s="60">
        <v>3.5</v>
      </c>
      <c r="C19" s="57">
        <f t="shared" si="0"/>
        <v>-0.35078322768961984</v>
      </c>
      <c r="N19" s="48">
        <v>6</v>
      </c>
      <c r="O19" s="49">
        <f t="shared" si="1"/>
        <v>39</v>
      </c>
    </row>
    <row r="20" spans="2:21" x14ac:dyDescent="0.3">
      <c r="B20" s="61" t="s">
        <v>2</v>
      </c>
      <c r="C20" s="57">
        <f>MAX(C5:C19)</f>
        <v>0.99749498660405445</v>
      </c>
      <c r="N20" s="48">
        <v>7</v>
      </c>
      <c r="O20" s="49">
        <f>N20^3-33*N20+21</f>
        <v>133</v>
      </c>
    </row>
    <row r="21" spans="2:21" ht="15" thickBot="1" x14ac:dyDescent="0.35">
      <c r="B21" s="62" t="s">
        <v>3</v>
      </c>
      <c r="C21" s="58">
        <f>MIN(C5:C19)</f>
        <v>-0.99749498660405445</v>
      </c>
      <c r="N21" s="61" t="s">
        <v>2</v>
      </c>
      <c r="O21" s="49">
        <f>MAX(O5:O20)</f>
        <v>133</v>
      </c>
    </row>
    <row r="22" spans="2:21" ht="15" thickBot="1" x14ac:dyDescent="0.35">
      <c r="N22" s="62" t="s">
        <v>3</v>
      </c>
      <c r="O22" s="51">
        <f>MIN(O5:O20)</f>
        <v>-227</v>
      </c>
    </row>
    <row r="23" spans="2:21" ht="15" thickBot="1" x14ac:dyDescent="0.35"/>
    <row r="24" spans="2:21" ht="43.2" x14ac:dyDescent="0.3">
      <c r="B24" s="63" t="s">
        <v>4</v>
      </c>
      <c r="C24" s="64" t="s">
        <v>5</v>
      </c>
      <c r="E24" s="63" t="s">
        <v>6</v>
      </c>
      <c r="F24" s="64" t="s">
        <v>5</v>
      </c>
      <c r="H24" s="63" t="s">
        <v>9</v>
      </c>
      <c r="I24" s="64" t="s">
        <v>5</v>
      </c>
      <c r="N24" s="63" t="s">
        <v>4</v>
      </c>
      <c r="O24" s="64" t="s">
        <v>5</v>
      </c>
      <c r="Q24" s="63" t="s">
        <v>6</v>
      </c>
      <c r="R24" s="64" t="s">
        <v>5</v>
      </c>
      <c r="T24" s="63" t="s">
        <v>9</v>
      </c>
      <c r="U24" s="64" t="s">
        <v>5</v>
      </c>
    </row>
    <row r="25" spans="2:21" ht="15" thickBot="1" x14ac:dyDescent="0.35">
      <c r="B25" s="50">
        <v>-3.1415926462973993</v>
      </c>
      <c r="C25" s="65">
        <f>SIN(B25)</f>
        <v>-7.2923939224440321E-9</v>
      </c>
      <c r="E25" s="50">
        <v>3.1415926462973993</v>
      </c>
      <c r="F25" s="51">
        <f>SIN(E25)</f>
        <v>7.2923939224440321E-9</v>
      </c>
      <c r="H25" s="50">
        <v>0</v>
      </c>
      <c r="I25" s="51">
        <f>SIN(H25)</f>
        <v>0</v>
      </c>
      <c r="N25" s="50">
        <v>-6.0396223866045364</v>
      </c>
      <c r="O25" s="51">
        <f>N25^3-33*N25+21</f>
        <v>-3.2173943509405944E-9</v>
      </c>
      <c r="Q25" s="50">
        <v>0.64447520225271171</v>
      </c>
      <c r="R25" s="51">
        <f>Q25^3-33*Q25+21</f>
        <v>-3.508940693564E-9</v>
      </c>
      <c r="T25" s="50">
        <v>5.3951471844172056</v>
      </c>
      <c r="U25" s="51">
        <f>T25^3-33*T25+21</f>
        <v>-1.6444801076431759E-10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selection activeCell="M2" sqref="M2:M3"/>
    </sheetView>
  </sheetViews>
  <sheetFormatPr defaultRowHeight="14.4" x14ac:dyDescent="0.3"/>
  <cols>
    <col min="2" max="2" width="13.109375" customWidth="1"/>
    <col min="13" max="13" width="11.5546875" customWidth="1"/>
    <col min="14" max="14" width="14.77734375" customWidth="1"/>
  </cols>
  <sheetData>
    <row r="1" spans="1:14" ht="15" thickBot="1" x14ac:dyDescent="0.35">
      <c r="A1" s="6" t="s">
        <v>7</v>
      </c>
      <c r="M1" s="6" t="s">
        <v>8</v>
      </c>
    </row>
    <row r="2" spans="1:14" x14ac:dyDescent="0.3">
      <c r="A2" s="68" t="s">
        <v>10</v>
      </c>
      <c r="B2" s="52">
        <v>0.2</v>
      </c>
      <c r="M2" s="70" t="s">
        <v>12</v>
      </c>
      <c r="N2" s="52">
        <v>3</v>
      </c>
    </row>
    <row r="3" spans="1:14" ht="15" thickBot="1" x14ac:dyDescent="0.35">
      <c r="A3" s="69" t="s">
        <v>11</v>
      </c>
      <c r="B3" s="51">
        <v>6</v>
      </c>
      <c r="M3" s="69" t="s">
        <v>13</v>
      </c>
      <c r="N3" s="51">
        <v>4</v>
      </c>
    </row>
    <row r="4" spans="1:14" x14ac:dyDescent="0.3">
      <c r="C4" s="2"/>
    </row>
    <row r="5" spans="1:14" x14ac:dyDescent="0.3">
      <c r="B5" s="4"/>
    </row>
    <row r="6" spans="1:14" ht="15" thickBot="1" x14ac:dyDescent="0.35">
      <c r="B6" s="5"/>
      <c r="C6" s="3"/>
    </row>
    <row r="7" spans="1:14" x14ac:dyDescent="0.3">
      <c r="A7" s="53" t="s">
        <v>0</v>
      </c>
      <c r="B7" s="54" t="s">
        <v>1</v>
      </c>
      <c r="M7" s="53" t="s">
        <v>0</v>
      </c>
      <c r="N7" s="54" t="s">
        <v>1</v>
      </c>
    </row>
    <row r="8" spans="1:14" x14ac:dyDescent="0.3">
      <c r="A8" s="55">
        <v>0</v>
      </c>
      <c r="B8" s="44">
        <f>IF(A8&lt;1,2,IF(A8&gt;2,EXP($B$2*A8)*SIN($B$3*A8),$B$2*A8^LN(A8)))</f>
        <v>2</v>
      </c>
      <c r="M8" s="55">
        <v>-5</v>
      </c>
      <c r="N8" s="57">
        <f>IF(M8&lt;=-4,$N$2*COS($N$2+PI()*M8),IF(M8&gt;4,M8-4,ABS($N$2-$N$3*EXP(M8*$N$2)+3)))</f>
        <v>2.9699774898013365</v>
      </c>
    </row>
    <row r="9" spans="1:14" x14ac:dyDescent="0.3">
      <c r="A9" s="55">
        <v>0.25</v>
      </c>
      <c r="B9" s="44">
        <f t="shared" ref="B9:B18" si="0">IF(A9&lt;1,2,IF(A9&gt;2,EXP($B$2*A9)*SIN($B$3*A9),$B$2*A9^LN(A9)))</f>
        <v>2</v>
      </c>
      <c r="M9" s="55">
        <v>-4.5</v>
      </c>
      <c r="N9" s="57">
        <f t="shared" ref="N9:N28" si="1">IF(M9&lt;=-4,$N$2*COS($N$2+PI()*M9),IF(M9&gt;4,M9-4,ABS($N$2-$N$3*EXP(M9*$N$2)+3)))</f>
        <v>0.42336002417960006</v>
      </c>
    </row>
    <row r="10" spans="1:14" x14ac:dyDescent="0.3">
      <c r="A10" s="55">
        <v>0.5</v>
      </c>
      <c r="B10" s="44">
        <f t="shared" si="0"/>
        <v>2</v>
      </c>
      <c r="M10" s="55">
        <v>-4</v>
      </c>
      <c r="N10" s="57">
        <f t="shared" si="1"/>
        <v>-2.9699774898013365</v>
      </c>
    </row>
    <row r="11" spans="1:14" x14ac:dyDescent="0.3">
      <c r="A11" s="55">
        <v>0.75</v>
      </c>
      <c r="B11" s="44">
        <f t="shared" si="0"/>
        <v>2</v>
      </c>
      <c r="M11" s="55">
        <v>-3.5</v>
      </c>
      <c r="N11" s="57">
        <f t="shared" si="1"/>
        <v>5.9998898542026016</v>
      </c>
    </row>
    <row r="12" spans="1:14" x14ac:dyDescent="0.3">
      <c r="A12" s="55">
        <v>1</v>
      </c>
      <c r="B12" s="44">
        <f t="shared" si="0"/>
        <v>0.2</v>
      </c>
      <c r="M12" s="55">
        <v>-3</v>
      </c>
      <c r="N12" s="57">
        <f t="shared" si="1"/>
        <v>5.9995063607836538</v>
      </c>
    </row>
    <row r="13" spans="1:14" x14ac:dyDescent="0.3">
      <c r="A13" s="55">
        <v>1.25</v>
      </c>
      <c r="B13" s="44">
        <f t="shared" si="0"/>
        <v>0.21021071050902518</v>
      </c>
      <c r="M13" s="55">
        <v>-2.5</v>
      </c>
      <c r="N13" s="57">
        <f t="shared" si="1"/>
        <v>5.9977876625194089</v>
      </c>
    </row>
    <row r="14" spans="1:14" x14ac:dyDescent="0.3">
      <c r="A14" s="55">
        <v>1.5</v>
      </c>
      <c r="B14" s="44">
        <f t="shared" si="0"/>
        <v>0.23573759962332944</v>
      </c>
      <c r="M14" s="55">
        <v>-2</v>
      </c>
      <c r="N14" s="57">
        <f t="shared" si="1"/>
        <v>5.9900849912933349</v>
      </c>
    </row>
    <row r="15" spans="1:14" x14ac:dyDescent="0.3">
      <c r="A15" s="55">
        <v>1.75</v>
      </c>
      <c r="B15" s="44">
        <f t="shared" si="0"/>
        <v>0.27355075941546025</v>
      </c>
      <c r="M15" s="55">
        <v>-1.5</v>
      </c>
      <c r="N15" s="57">
        <f t="shared" si="1"/>
        <v>5.9555640138470309</v>
      </c>
    </row>
    <row r="16" spans="1:14" x14ac:dyDescent="0.3">
      <c r="A16" s="55">
        <v>2</v>
      </c>
      <c r="B16" s="44">
        <f t="shared" si="0"/>
        <v>0.32336133444833493</v>
      </c>
      <c r="M16" s="55">
        <v>-1</v>
      </c>
      <c r="N16" s="57">
        <f t="shared" si="1"/>
        <v>5.8008517265285438</v>
      </c>
    </row>
    <row r="17" spans="1:14" x14ac:dyDescent="0.3">
      <c r="A17" s="55">
        <v>2.25</v>
      </c>
      <c r="B17" s="44">
        <f t="shared" si="0"/>
        <v>1.2605849106681348</v>
      </c>
      <c r="M17" s="55">
        <v>-0.5</v>
      </c>
      <c r="N17" s="57">
        <f t="shared" si="1"/>
        <v>5.1074793594062804</v>
      </c>
    </row>
    <row r="18" spans="1:14" ht="15" thickBot="1" x14ac:dyDescent="0.35">
      <c r="A18" s="56">
        <v>2.5</v>
      </c>
      <c r="B18" s="46">
        <f t="shared" si="0"/>
        <v>1.0721433941446834</v>
      </c>
      <c r="M18" s="55">
        <v>0</v>
      </c>
      <c r="N18" s="57">
        <f t="shared" si="1"/>
        <v>2</v>
      </c>
    </row>
    <row r="19" spans="1:14" x14ac:dyDescent="0.3">
      <c r="M19" s="55">
        <v>0.5</v>
      </c>
      <c r="N19" s="57">
        <f t="shared" si="1"/>
        <v>11.926756281352258</v>
      </c>
    </row>
    <row r="20" spans="1:14" x14ac:dyDescent="0.3">
      <c r="M20" s="55">
        <v>1</v>
      </c>
      <c r="N20" s="57">
        <f t="shared" si="1"/>
        <v>74.342147692750672</v>
      </c>
    </row>
    <row r="21" spans="1:14" x14ac:dyDescent="0.3">
      <c r="M21" s="55">
        <v>1.5</v>
      </c>
      <c r="N21" s="57">
        <f t="shared" si="1"/>
        <v>354.06852520208724</v>
      </c>
    </row>
    <row r="22" spans="1:14" x14ac:dyDescent="0.3">
      <c r="M22" s="55">
        <v>2</v>
      </c>
      <c r="N22" s="57">
        <f t="shared" si="1"/>
        <v>1607.7151739709404</v>
      </c>
    </row>
    <row r="23" spans="1:14" x14ac:dyDescent="0.3">
      <c r="M23" s="55">
        <v>2.5</v>
      </c>
      <c r="N23" s="57">
        <f t="shared" si="1"/>
        <v>7226.1696578242527</v>
      </c>
    </row>
    <row r="24" spans="1:14" x14ac:dyDescent="0.3">
      <c r="M24" s="55">
        <v>3</v>
      </c>
      <c r="N24" s="57">
        <f t="shared" si="1"/>
        <v>32406.335710301537</v>
      </c>
    </row>
    <row r="25" spans="1:14" x14ac:dyDescent="0.3">
      <c r="M25" s="55">
        <v>3.5</v>
      </c>
      <c r="N25" s="57">
        <f t="shared" si="1"/>
        <v>145256.01069698654</v>
      </c>
    </row>
    <row r="26" spans="1:14" x14ac:dyDescent="0.3">
      <c r="M26" s="55">
        <v>4</v>
      </c>
      <c r="N26" s="57">
        <f t="shared" si="1"/>
        <v>651013.16567601566</v>
      </c>
    </row>
    <row r="27" spans="1:14" x14ac:dyDescent="0.3">
      <c r="M27" s="55">
        <v>4.5</v>
      </c>
      <c r="N27" s="57">
        <f t="shared" si="1"/>
        <v>0.5</v>
      </c>
    </row>
    <row r="28" spans="1:14" ht="15" thickBot="1" x14ac:dyDescent="0.35">
      <c r="M28" s="56">
        <v>5</v>
      </c>
      <c r="N28" s="58">
        <f t="shared" si="1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selection activeCell="M18" sqref="M18"/>
    </sheetView>
  </sheetViews>
  <sheetFormatPr defaultRowHeight="14.4" x14ac:dyDescent="0.3"/>
  <cols>
    <col min="2" max="2" width="9.5546875" customWidth="1"/>
    <col min="13" max="13" width="11.33203125" customWidth="1"/>
  </cols>
  <sheetData>
    <row r="1" spans="1:14" x14ac:dyDescent="0.3">
      <c r="A1" s="6" t="s">
        <v>7</v>
      </c>
      <c r="M1" s="6" t="s">
        <v>8</v>
      </c>
    </row>
    <row r="2" spans="1:14" ht="15" thickBot="1" x14ac:dyDescent="0.35"/>
    <row r="3" spans="1:14" x14ac:dyDescent="0.3">
      <c r="A3" s="41" t="s">
        <v>0</v>
      </c>
      <c r="B3" s="42" t="s">
        <v>1</v>
      </c>
      <c r="M3" s="47" t="s">
        <v>0</v>
      </c>
      <c r="N3" s="42" t="s">
        <v>1</v>
      </c>
    </row>
    <row r="4" spans="1:14" x14ac:dyDescent="0.3">
      <c r="A4" s="43">
        <v>0</v>
      </c>
      <c r="B4" s="44">
        <v>0.56520000000000004</v>
      </c>
      <c r="M4" s="48">
        <v>-3</v>
      </c>
      <c r="N4" s="49">
        <v>-112</v>
      </c>
    </row>
    <row r="5" spans="1:14" x14ac:dyDescent="0.3">
      <c r="A5" s="43">
        <v>0.2</v>
      </c>
      <c r="B5" s="44">
        <v>0.7</v>
      </c>
      <c r="M5" s="48">
        <v>-2</v>
      </c>
      <c r="N5" s="49">
        <v>-286</v>
      </c>
    </row>
    <row r="6" spans="1:14" x14ac:dyDescent="0.3">
      <c r="A6" s="43">
        <v>0.4</v>
      </c>
      <c r="B6" s="44">
        <v>0.8861</v>
      </c>
      <c r="M6" s="48">
        <v>-1</v>
      </c>
      <c r="N6" s="49">
        <v>-304</v>
      </c>
    </row>
    <row r="7" spans="1:14" x14ac:dyDescent="0.3">
      <c r="A7" s="43">
        <v>0.6</v>
      </c>
      <c r="B7" s="44">
        <v>1.1000000000000001</v>
      </c>
      <c r="M7" s="48">
        <v>0</v>
      </c>
      <c r="N7" s="49">
        <v>-295</v>
      </c>
    </row>
    <row r="8" spans="1:14" x14ac:dyDescent="0.3">
      <c r="A8" s="43">
        <v>0.8</v>
      </c>
      <c r="B8" s="44">
        <v>1.3171999999999999</v>
      </c>
      <c r="M8" s="48">
        <v>1</v>
      </c>
      <c r="N8" s="49">
        <v>-400</v>
      </c>
    </row>
    <row r="9" spans="1:14" ht="15" thickBot="1" x14ac:dyDescent="0.35">
      <c r="A9" s="43">
        <v>1</v>
      </c>
      <c r="B9" s="44">
        <v>1.4905999999999999</v>
      </c>
      <c r="M9" s="50">
        <v>2</v>
      </c>
      <c r="N9" s="51">
        <v>-362</v>
      </c>
    </row>
    <row r="10" spans="1:14" x14ac:dyDescent="0.3">
      <c r="A10" s="43">
        <v>1.2</v>
      </c>
      <c r="B10" s="44">
        <v>1.58</v>
      </c>
    </row>
    <row r="11" spans="1:14" x14ac:dyDescent="0.3">
      <c r="A11" s="43">
        <v>1.4</v>
      </c>
      <c r="B11" s="44">
        <v>1.3982000000000001</v>
      </c>
    </row>
    <row r="12" spans="1:14" x14ac:dyDescent="0.3">
      <c r="A12" s="43">
        <v>1.6</v>
      </c>
      <c r="B12" s="44">
        <v>1.3171999999999999</v>
      </c>
    </row>
    <row r="13" spans="1:14" x14ac:dyDescent="0.3">
      <c r="A13" s="43">
        <v>1.8</v>
      </c>
      <c r="B13" s="44">
        <v>1.0999000000000001</v>
      </c>
    </row>
    <row r="14" spans="1:14" x14ac:dyDescent="0.3">
      <c r="A14" s="43">
        <v>2</v>
      </c>
      <c r="B14" s="44">
        <v>0.89800000000000002</v>
      </c>
    </row>
    <row r="15" spans="1:14" x14ac:dyDescent="0.3">
      <c r="A15" s="43">
        <v>2.2000000000000002</v>
      </c>
      <c r="B15" s="44">
        <v>0.66</v>
      </c>
    </row>
    <row r="16" spans="1:14" x14ac:dyDescent="0.3">
      <c r="A16" s="43">
        <v>2.4</v>
      </c>
      <c r="B16" s="44">
        <v>0.39</v>
      </c>
    </row>
    <row r="17" spans="1:2" x14ac:dyDescent="0.3">
      <c r="A17" s="43">
        <v>2.6</v>
      </c>
      <c r="B17" s="44">
        <v>0.251</v>
      </c>
    </row>
    <row r="18" spans="1:2" ht="15" thickBot="1" x14ac:dyDescent="0.35">
      <c r="A18" s="45">
        <v>2.8</v>
      </c>
      <c r="B18" s="46">
        <v>0.221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"/>
  <sheetViews>
    <sheetView workbookViewId="0">
      <selection activeCell="L12" sqref="L12"/>
    </sheetView>
  </sheetViews>
  <sheetFormatPr defaultRowHeight="14.4" x14ac:dyDescent="0.3"/>
  <cols>
    <col min="2" max="2" width="10.33203125" customWidth="1"/>
    <col min="10" max="10" width="10.33203125" customWidth="1"/>
  </cols>
  <sheetData>
    <row r="1" spans="1:16" x14ac:dyDescent="0.3">
      <c r="A1" s="6" t="s">
        <v>7</v>
      </c>
      <c r="J1" s="6" t="s">
        <v>8</v>
      </c>
    </row>
    <row r="3" spans="1:16" x14ac:dyDescent="0.3">
      <c r="A3" s="6" t="s">
        <v>14</v>
      </c>
      <c r="J3" s="6" t="s">
        <v>23</v>
      </c>
    </row>
    <row r="6" spans="1:16" x14ac:dyDescent="0.3">
      <c r="A6" s="6" t="s">
        <v>15</v>
      </c>
      <c r="J6" s="6" t="s">
        <v>15</v>
      </c>
    </row>
    <row r="7" spans="1:16" ht="15" thickBot="1" x14ac:dyDescent="0.35"/>
    <row r="8" spans="1:16" x14ac:dyDescent="0.3">
      <c r="B8" s="9">
        <v>6</v>
      </c>
      <c r="C8" s="10">
        <v>-2</v>
      </c>
      <c r="D8" s="11">
        <v>1</v>
      </c>
      <c r="F8" s="19">
        <v>4</v>
      </c>
      <c r="L8" s="9">
        <v>2</v>
      </c>
      <c r="M8" s="10">
        <v>-1</v>
      </c>
      <c r="N8" s="11">
        <v>1</v>
      </c>
      <c r="P8" s="35">
        <v>2</v>
      </c>
    </row>
    <row r="9" spans="1:16" x14ac:dyDescent="0.3">
      <c r="A9" s="7" t="s">
        <v>19</v>
      </c>
      <c r="B9" s="12">
        <v>3</v>
      </c>
      <c r="C9" s="8">
        <v>0</v>
      </c>
      <c r="D9" s="13">
        <v>2</v>
      </c>
      <c r="E9" s="7" t="s">
        <v>13</v>
      </c>
      <c r="F9" s="17">
        <v>6</v>
      </c>
      <c r="K9" s="7" t="s">
        <v>19</v>
      </c>
      <c r="L9" s="12">
        <v>3</v>
      </c>
      <c r="M9" s="8">
        <v>2</v>
      </c>
      <c r="N9" s="13">
        <v>2</v>
      </c>
      <c r="O9" s="7" t="s">
        <v>13</v>
      </c>
      <c r="P9" s="36">
        <v>-2</v>
      </c>
    </row>
    <row r="10" spans="1:16" ht="15" thickBot="1" x14ac:dyDescent="0.35">
      <c r="B10" s="14">
        <v>6</v>
      </c>
      <c r="C10" s="15">
        <v>-2</v>
      </c>
      <c r="D10" s="16">
        <v>12</v>
      </c>
      <c r="F10" s="18">
        <v>1</v>
      </c>
      <c r="L10" s="14">
        <v>1</v>
      </c>
      <c r="M10" s="15">
        <v>-2</v>
      </c>
      <c r="N10" s="16">
        <v>1</v>
      </c>
      <c r="P10" s="37">
        <v>1</v>
      </c>
    </row>
    <row r="12" spans="1:16" x14ac:dyDescent="0.3">
      <c r="A12" s="6" t="s">
        <v>16</v>
      </c>
      <c r="C12" s="6">
        <f>MDETERM(B8:D10)</f>
        <v>66</v>
      </c>
      <c r="J12" s="6" t="s">
        <v>16</v>
      </c>
      <c r="L12" s="6">
        <f>MDETERM(L8:N10)</f>
        <v>5</v>
      </c>
    </row>
    <row r="14" spans="1:16" ht="15" thickBot="1" x14ac:dyDescent="0.35">
      <c r="A14" s="6" t="s">
        <v>17</v>
      </c>
      <c r="J14" s="6" t="s">
        <v>17</v>
      </c>
    </row>
    <row r="15" spans="1:16" x14ac:dyDescent="0.3">
      <c r="B15" s="23">
        <f t="array" ref="B15:D17">MINVERSE(B8:D10)</f>
        <v>6.0606060606060608E-2</v>
      </c>
      <c r="C15" s="24">
        <v>0.33333333333333331</v>
      </c>
      <c r="D15" s="25">
        <v>-6.0606060606060608E-2</v>
      </c>
      <c r="K15" s="9">
        <f t="array" ref="K15:M17">MINVERSE(L8:N10)</f>
        <v>1.2</v>
      </c>
      <c r="L15" s="10">
        <v>-0.19999999999999998</v>
      </c>
      <c r="M15" s="11">
        <v>-0.79999999999999993</v>
      </c>
    </row>
    <row r="16" spans="1:16" x14ac:dyDescent="0.3">
      <c r="B16" s="26">
        <v>-0.36363636363636365</v>
      </c>
      <c r="C16" s="27">
        <v>1</v>
      </c>
      <c r="D16" s="28">
        <v>-0.13636363636363635</v>
      </c>
      <c r="K16" s="12">
        <v>-0.20000000000000004</v>
      </c>
      <c r="L16" s="8">
        <v>0.2</v>
      </c>
      <c r="M16" s="13">
        <v>-0.2</v>
      </c>
    </row>
    <row r="17" spans="1:13" ht="15" thickBot="1" x14ac:dyDescent="0.35">
      <c r="B17" s="29">
        <v>-9.0909090909090912E-2</v>
      </c>
      <c r="C17" s="30">
        <v>0</v>
      </c>
      <c r="D17" s="31">
        <v>9.0909090909090912E-2</v>
      </c>
      <c r="K17" s="14">
        <v>-1.6</v>
      </c>
      <c r="L17" s="15">
        <v>0.6</v>
      </c>
      <c r="M17" s="16">
        <v>1.4</v>
      </c>
    </row>
    <row r="19" spans="1:13" x14ac:dyDescent="0.3">
      <c r="A19" s="6" t="s">
        <v>18</v>
      </c>
      <c r="J19" s="6" t="s">
        <v>18</v>
      </c>
    </row>
    <row r="20" spans="1:13" ht="15" thickBot="1" x14ac:dyDescent="0.35"/>
    <row r="21" spans="1:13" x14ac:dyDescent="0.3">
      <c r="B21" s="20" t="s">
        <v>20</v>
      </c>
      <c r="C21" s="32">
        <f t="array" ref="C21:C23">MMULT(B15:D17,F8:F10)</f>
        <v>2.1818181818181817</v>
      </c>
      <c r="K21" s="20" t="s">
        <v>20</v>
      </c>
      <c r="L21" s="38">
        <f t="array" ref="L21:L23">MMULT(K15:M17,P8:P10)</f>
        <v>2</v>
      </c>
    </row>
    <row r="22" spans="1:13" x14ac:dyDescent="0.3">
      <c r="B22" s="21" t="s">
        <v>21</v>
      </c>
      <c r="C22" s="33">
        <v>4.4090909090909083</v>
      </c>
      <c r="K22" s="21" t="s">
        <v>21</v>
      </c>
      <c r="L22" s="39">
        <v>-1</v>
      </c>
    </row>
    <row r="23" spans="1:13" ht="15" thickBot="1" x14ac:dyDescent="0.35">
      <c r="B23" s="22" t="s">
        <v>22</v>
      </c>
      <c r="C23" s="34">
        <v>-0.27272727272727271</v>
      </c>
      <c r="K23" s="22" t="s">
        <v>22</v>
      </c>
      <c r="L23" s="40">
        <v>-3.0000000000000004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workbookViewId="0">
      <selection activeCell="K23" sqref="K23"/>
    </sheetView>
  </sheetViews>
  <sheetFormatPr defaultRowHeight="14.4" x14ac:dyDescent="0.3"/>
  <cols>
    <col min="1" max="1" width="8" customWidth="1"/>
    <col min="2" max="2" width="11.5546875" customWidth="1"/>
    <col min="3" max="3" width="14" customWidth="1"/>
    <col min="4" max="4" width="2.88671875" customWidth="1"/>
    <col min="6" max="6" width="11.5546875" customWidth="1"/>
    <col min="7" max="7" width="11.77734375" customWidth="1"/>
    <col min="12" max="12" width="12" customWidth="1"/>
    <col min="13" max="13" width="15.21875" customWidth="1"/>
    <col min="14" max="14" width="2.33203125" customWidth="1"/>
    <col min="15" max="15" width="7.44140625" customWidth="1"/>
    <col min="16" max="16" width="11.33203125" customWidth="1"/>
    <col min="17" max="17" width="17.6640625" customWidth="1"/>
    <col min="18" max="18" width="18.6640625" bestFit="1" customWidth="1"/>
  </cols>
  <sheetData>
    <row r="1" spans="1:18" x14ac:dyDescent="0.3">
      <c r="A1" s="6" t="s">
        <v>7</v>
      </c>
      <c r="L1" s="6" t="s">
        <v>8</v>
      </c>
    </row>
    <row r="3" spans="1:18" x14ac:dyDescent="0.3">
      <c r="A3" s="6" t="s">
        <v>24</v>
      </c>
      <c r="F3" s="6" t="s">
        <v>25</v>
      </c>
      <c r="L3" s="6" t="s">
        <v>24</v>
      </c>
      <c r="P3" s="6" t="s">
        <v>25</v>
      </c>
    </row>
    <row r="4" spans="1:18" ht="15" thickBot="1" x14ac:dyDescent="0.35"/>
    <row r="5" spans="1:18" ht="28.8" x14ac:dyDescent="0.3">
      <c r="B5" s="71" t="s">
        <v>27</v>
      </c>
      <c r="C5" s="72" t="s">
        <v>26</v>
      </c>
      <c r="F5" s="71" t="s">
        <v>29</v>
      </c>
      <c r="G5" s="72" t="s">
        <v>26</v>
      </c>
      <c r="H5" s="75" t="s">
        <v>30</v>
      </c>
      <c r="L5" s="71" t="s">
        <v>29</v>
      </c>
      <c r="M5" s="72" t="s">
        <v>26</v>
      </c>
      <c r="P5" s="71" t="s">
        <v>29</v>
      </c>
      <c r="Q5" s="85" t="s">
        <v>26</v>
      </c>
      <c r="R5" s="75" t="s">
        <v>30</v>
      </c>
    </row>
    <row r="6" spans="1:18" x14ac:dyDescent="0.3">
      <c r="B6" s="48">
        <v>1</v>
      </c>
      <c r="C6" s="66">
        <f>B6/(6*B6^3)</f>
        <v>0.16666666666666666</v>
      </c>
      <c r="F6" s="48">
        <v>1</v>
      </c>
      <c r="G6" s="66">
        <f>F6/(6*F6^3)</f>
        <v>0.16666666666666666</v>
      </c>
      <c r="H6" s="76"/>
      <c r="L6" s="48">
        <v>1</v>
      </c>
      <c r="M6" s="66">
        <f>((-1)^(L6+1))*((2*L6+3)/(FACT(2*L6+1)))</f>
        <v>0.83333333333333337</v>
      </c>
      <c r="P6" s="48">
        <v>1</v>
      </c>
      <c r="Q6" s="91">
        <f>(((-1)^(P6+1))*((2*P6+3)/(FACT(2*P6+1))))</f>
        <v>0.83333333333333337</v>
      </c>
      <c r="R6" s="86"/>
    </row>
    <row r="7" spans="1:18" x14ac:dyDescent="0.3">
      <c r="B7" s="48">
        <v>2</v>
      </c>
      <c r="C7" s="66">
        <f t="shared" ref="C7:C15" si="0">B7/(6*B7^3)</f>
        <v>4.1666666666666664E-2</v>
      </c>
      <c r="F7" s="48">
        <v>2</v>
      </c>
      <c r="G7" s="66">
        <f t="shared" ref="G7:G19" si="1">F7/(6*F7^3)</f>
        <v>4.1666666666666664E-2</v>
      </c>
      <c r="H7" s="76">
        <f>ABS(G7-G6)</f>
        <v>0.125</v>
      </c>
      <c r="L7" s="48">
        <v>2</v>
      </c>
      <c r="M7" s="66">
        <f t="shared" ref="M7:M10" si="2">((-1)^(L7+1))*((2*L7+3)/(FACT(2*L7+1)))</f>
        <v>-5.8333333333333334E-2</v>
      </c>
      <c r="P7" s="48">
        <v>2</v>
      </c>
      <c r="Q7" s="91">
        <f t="shared" ref="Q7:Q11" si="3">(((-1)^(P7+1))*((2*P7+3)/(FACT(2*P7+1))))</f>
        <v>-5.8333333333333334E-2</v>
      </c>
      <c r="R7" s="86">
        <f>IF(ABS(Q7-Q6)&gt;M$18,ABS(Q7-Q6),"точность достигнута")</f>
        <v>0.89166666666666672</v>
      </c>
    </row>
    <row r="8" spans="1:18" x14ac:dyDescent="0.3">
      <c r="B8" s="48">
        <v>3</v>
      </c>
      <c r="C8" s="66">
        <f t="shared" si="0"/>
        <v>1.8518518518518517E-2</v>
      </c>
      <c r="F8" s="48">
        <v>3</v>
      </c>
      <c r="G8" s="66">
        <f t="shared" si="1"/>
        <v>1.8518518518518517E-2</v>
      </c>
      <c r="H8" s="76">
        <f t="shared" ref="H8:H19" si="4">ABS(G8-G7)</f>
        <v>2.3148148148148147E-2</v>
      </c>
      <c r="L8" s="48">
        <v>3</v>
      </c>
      <c r="M8" s="66">
        <f t="shared" si="2"/>
        <v>1.7857142857142857E-3</v>
      </c>
      <c r="P8" s="48">
        <v>3</v>
      </c>
      <c r="Q8" s="91">
        <f t="shared" si="3"/>
        <v>1.7857142857142857E-3</v>
      </c>
      <c r="R8" s="86">
        <f t="shared" ref="R8:R11" si="5">IF(ABS(Q8-Q7)&gt;M$18,ABS(Q8-Q7),"точность достигнута")</f>
        <v>6.0119047619047621E-2</v>
      </c>
    </row>
    <row r="9" spans="1:18" ht="15" thickBot="1" x14ac:dyDescent="0.35">
      <c r="B9" s="48">
        <v>4</v>
      </c>
      <c r="C9" s="66">
        <f t="shared" si="0"/>
        <v>1.0416666666666666E-2</v>
      </c>
      <c r="F9" s="48">
        <v>4</v>
      </c>
      <c r="G9" s="66">
        <f t="shared" si="1"/>
        <v>1.0416666666666666E-2</v>
      </c>
      <c r="H9" s="76">
        <f t="shared" si="4"/>
        <v>8.1018518518518514E-3</v>
      </c>
      <c r="L9" s="48">
        <v>4</v>
      </c>
      <c r="M9" s="66">
        <f t="shared" si="2"/>
        <v>-3.031305114638448E-5</v>
      </c>
      <c r="P9" s="48">
        <v>4</v>
      </c>
      <c r="Q9" s="91">
        <f t="shared" si="3"/>
        <v>-3.031305114638448E-5</v>
      </c>
      <c r="R9" s="89">
        <f t="shared" si="5"/>
        <v>1.8160273368606702E-3</v>
      </c>
    </row>
    <row r="10" spans="1:18" ht="15" thickBot="1" x14ac:dyDescent="0.35">
      <c r="B10" s="48">
        <v>5</v>
      </c>
      <c r="C10" s="66">
        <f t="shared" si="0"/>
        <v>6.6666666666666671E-3</v>
      </c>
      <c r="F10" s="48">
        <v>5</v>
      </c>
      <c r="G10" s="66">
        <f t="shared" si="1"/>
        <v>6.6666666666666671E-3</v>
      </c>
      <c r="H10" s="76">
        <f t="shared" si="4"/>
        <v>3.749999999999999E-3</v>
      </c>
      <c r="L10" s="50">
        <v>5</v>
      </c>
      <c r="M10" s="67">
        <f t="shared" si="2"/>
        <v>3.2567740901074235E-7</v>
      </c>
      <c r="P10" s="88">
        <v>5</v>
      </c>
      <c r="Q10" s="92">
        <f t="shared" si="3"/>
        <v>3.2567740901074235E-7</v>
      </c>
      <c r="R10" s="74">
        <f t="shared" si="5"/>
        <v>3.0638728555395219E-5</v>
      </c>
    </row>
    <row r="11" spans="1:18" ht="15" thickBot="1" x14ac:dyDescent="0.35">
      <c r="B11" s="48">
        <v>6</v>
      </c>
      <c r="C11" s="66">
        <f t="shared" si="0"/>
        <v>4.6296296296296294E-3</v>
      </c>
      <c r="F11" s="48">
        <v>6</v>
      </c>
      <c r="G11" s="66">
        <f t="shared" si="1"/>
        <v>4.6296296296296294E-3</v>
      </c>
      <c r="H11" s="76">
        <f t="shared" si="4"/>
        <v>2.0370370370370377E-3</v>
      </c>
      <c r="L11" s="83" t="s">
        <v>28</v>
      </c>
      <c r="M11" s="84">
        <f>SUM(M6:M10)</f>
        <v>0.77675572691197692</v>
      </c>
      <c r="P11" s="90">
        <v>6</v>
      </c>
      <c r="Q11" s="93">
        <f t="shared" si="3"/>
        <v>-2.4088565755232422E-9</v>
      </c>
      <c r="R11" s="100" t="str">
        <f t="shared" si="5"/>
        <v>точность достигнута</v>
      </c>
    </row>
    <row r="12" spans="1:18" ht="15" thickBot="1" x14ac:dyDescent="0.35">
      <c r="B12" s="48">
        <v>7</v>
      </c>
      <c r="C12" s="66">
        <f t="shared" si="0"/>
        <v>3.4013605442176869E-3</v>
      </c>
      <c r="F12" s="48">
        <v>7</v>
      </c>
      <c r="G12" s="66">
        <f t="shared" si="1"/>
        <v>3.4013605442176869E-3</v>
      </c>
      <c r="H12" s="76">
        <f t="shared" si="4"/>
        <v>1.2282690854119424E-3</v>
      </c>
      <c r="P12" s="87" t="s">
        <v>28</v>
      </c>
      <c r="Q12" s="97">
        <f>SUM(Q6:Q10)</f>
        <v>0.77675572691197692</v>
      </c>
      <c r="R12" s="94"/>
    </row>
    <row r="13" spans="1:18" x14ac:dyDescent="0.3">
      <c r="B13" s="48">
        <v>8</v>
      </c>
      <c r="C13" s="66">
        <f t="shared" si="0"/>
        <v>2.6041666666666665E-3</v>
      </c>
      <c r="F13" s="48">
        <v>8</v>
      </c>
      <c r="G13" s="66">
        <f t="shared" si="1"/>
        <v>2.6041666666666665E-3</v>
      </c>
      <c r="H13" s="76">
        <f t="shared" si="4"/>
        <v>7.9719387755102043E-4</v>
      </c>
      <c r="P13" s="96"/>
      <c r="Q13" s="95"/>
      <c r="R13" s="94"/>
    </row>
    <row r="14" spans="1:18" x14ac:dyDescent="0.3">
      <c r="B14" s="48">
        <v>9</v>
      </c>
      <c r="C14" s="66">
        <f t="shared" si="0"/>
        <v>2.05761316872428E-3</v>
      </c>
      <c r="F14" s="48">
        <v>9</v>
      </c>
      <c r="G14" s="66">
        <f t="shared" si="1"/>
        <v>2.05761316872428E-3</v>
      </c>
      <c r="H14" s="76">
        <f t="shared" si="4"/>
        <v>5.4655349794238651E-4</v>
      </c>
    </row>
    <row r="15" spans="1:18" ht="15" thickBot="1" x14ac:dyDescent="0.35">
      <c r="B15" s="50">
        <v>10</v>
      </c>
      <c r="C15" s="73">
        <f t="shared" si="0"/>
        <v>1.6666666666666668E-3</v>
      </c>
      <c r="F15" s="48">
        <v>10</v>
      </c>
      <c r="G15" s="66">
        <f t="shared" si="1"/>
        <v>1.6666666666666668E-3</v>
      </c>
      <c r="H15" s="76">
        <f t="shared" si="4"/>
        <v>3.9094650205761324E-4</v>
      </c>
    </row>
    <row r="16" spans="1:18" ht="15" thickBot="1" x14ac:dyDescent="0.35">
      <c r="B16" s="6" t="s">
        <v>28</v>
      </c>
      <c r="C16" s="74">
        <f>SUM(C6:C15)</f>
        <v>0.25829462186109003</v>
      </c>
      <c r="F16" s="77">
        <v>11</v>
      </c>
      <c r="G16" s="78">
        <f t="shared" si="1"/>
        <v>1.3774104683195593E-3</v>
      </c>
      <c r="H16" s="76">
        <f t="shared" si="4"/>
        <v>2.8925619834710751E-4</v>
      </c>
    </row>
    <row r="17" spans="6:13" ht="15" thickBot="1" x14ac:dyDescent="0.35">
      <c r="F17" s="77">
        <v>12</v>
      </c>
      <c r="G17" s="78">
        <f t="shared" si="1"/>
        <v>1.1574074074074073E-3</v>
      </c>
      <c r="H17" s="76">
        <f t="shared" si="4"/>
        <v>2.2000306091215192E-4</v>
      </c>
    </row>
    <row r="18" spans="6:13" ht="15" thickBot="1" x14ac:dyDescent="0.35">
      <c r="F18" s="77">
        <v>13</v>
      </c>
      <c r="G18" s="78">
        <f t="shared" si="1"/>
        <v>9.8619329388560163E-4</v>
      </c>
      <c r="H18" s="81">
        <f t="shared" si="4"/>
        <v>1.7121411352180572E-4</v>
      </c>
      <c r="L18" s="98" t="s">
        <v>31</v>
      </c>
      <c r="M18" s="99">
        <v>1.0000000000000001E-5</v>
      </c>
    </row>
    <row r="19" spans="6:13" ht="15" thickBot="1" x14ac:dyDescent="0.35">
      <c r="F19" s="79">
        <v>14</v>
      </c>
      <c r="G19" s="80">
        <f t="shared" si="1"/>
        <v>8.5034013605442174E-4</v>
      </c>
      <c r="H19" s="82">
        <f t="shared" si="4"/>
        <v>1.3585315783117989E-4</v>
      </c>
    </row>
    <row r="20" spans="6:13" ht="15" thickBot="1" x14ac:dyDescent="0.35">
      <c r="F20" s="6" t="s">
        <v>28</v>
      </c>
      <c r="G20" s="74">
        <f>SUM(G6:G19)</f>
        <v>0.26266597316675699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8"/>
  <sheetViews>
    <sheetView tabSelected="1" topLeftCell="O8" zoomScale="90" zoomScaleNormal="90" workbookViewId="0">
      <selection activeCell="W18" sqref="W18"/>
    </sheetView>
  </sheetViews>
  <sheetFormatPr defaultRowHeight="14.4" x14ac:dyDescent="0.3"/>
  <cols>
    <col min="2" max="2" width="15.44140625" customWidth="1"/>
    <col min="21" max="21" width="8.88671875" customWidth="1"/>
    <col min="22" max="22" width="17.6640625" customWidth="1"/>
    <col min="24" max="24" width="9.77734375" customWidth="1"/>
    <col min="25" max="25" width="10" customWidth="1"/>
    <col min="31" max="31" width="7.33203125" customWidth="1"/>
  </cols>
  <sheetData>
    <row r="1" spans="1:31" ht="15" thickBot="1" x14ac:dyDescent="0.35">
      <c r="A1" s="6" t="s">
        <v>7</v>
      </c>
      <c r="U1" s="6" t="s">
        <v>8</v>
      </c>
    </row>
    <row r="2" spans="1:31" ht="186" x14ac:dyDescent="0.3">
      <c r="A2" s="107" t="s">
        <v>32</v>
      </c>
      <c r="B2" s="108" t="s">
        <v>33</v>
      </c>
      <c r="C2" s="109" t="s">
        <v>34</v>
      </c>
      <c r="D2" s="109" t="s">
        <v>35</v>
      </c>
      <c r="E2" s="109" t="s">
        <v>36</v>
      </c>
      <c r="F2" s="116" t="s">
        <v>37</v>
      </c>
      <c r="G2" s="124" t="s">
        <v>38</v>
      </c>
      <c r="H2" s="125" t="s">
        <v>39</v>
      </c>
      <c r="I2" s="121" t="s">
        <v>40</v>
      </c>
      <c r="J2" s="119" t="s">
        <v>41</v>
      </c>
      <c r="U2" s="107" t="s">
        <v>32</v>
      </c>
      <c r="V2" s="109" t="s">
        <v>55</v>
      </c>
      <c r="W2" s="131" t="s">
        <v>56</v>
      </c>
      <c r="X2" s="131" t="s">
        <v>57</v>
      </c>
      <c r="Y2" s="125" t="s">
        <v>76</v>
      </c>
      <c r="Z2" s="121" t="s">
        <v>60</v>
      </c>
      <c r="AA2" s="137" t="s">
        <v>58</v>
      </c>
      <c r="AB2" s="137" t="s">
        <v>59</v>
      </c>
    </row>
    <row r="3" spans="1:31" x14ac:dyDescent="0.3">
      <c r="A3" s="110">
        <v>1</v>
      </c>
      <c r="B3" s="101" t="s">
        <v>42</v>
      </c>
      <c r="C3" s="102">
        <v>5</v>
      </c>
      <c r="D3" s="102">
        <v>5</v>
      </c>
      <c r="E3" s="102">
        <v>5</v>
      </c>
      <c r="F3" s="117">
        <v>5</v>
      </c>
      <c r="G3" s="126">
        <f>AVERAGE(C3:F3)</f>
        <v>5</v>
      </c>
      <c r="H3" s="111">
        <f>MAX(C3:F3)</f>
        <v>5</v>
      </c>
      <c r="I3" s="122">
        <f>COUNTIF(C3:F3,"&gt;2")</f>
        <v>4</v>
      </c>
      <c r="J3" s="120">
        <f>SUM(C3:F3)/20</f>
        <v>1</v>
      </c>
      <c r="U3" s="110">
        <v>1</v>
      </c>
      <c r="V3" s="133" t="s">
        <v>79</v>
      </c>
      <c r="W3" s="133">
        <v>2019</v>
      </c>
      <c r="X3" s="135">
        <v>2.5</v>
      </c>
      <c r="Y3" s="49">
        <v>800</v>
      </c>
      <c r="Z3" s="141">
        <f t="shared" ref="Z3:Z13" si="0">Y3*AD$16</f>
        <v>72208</v>
      </c>
      <c r="AA3" s="156">
        <f>(Z3-W$15)/W$15</f>
        <v>-0.17757009345794389</v>
      </c>
      <c r="AB3" s="154" t="str">
        <f>IF(Z3&gt;W$15,"да","нет")</f>
        <v>нет</v>
      </c>
    </row>
    <row r="4" spans="1:31" x14ac:dyDescent="0.3">
      <c r="A4" s="110">
        <v>2</v>
      </c>
      <c r="B4" s="101" t="s">
        <v>43</v>
      </c>
      <c r="C4" s="102">
        <v>4</v>
      </c>
      <c r="D4" s="102">
        <v>4</v>
      </c>
      <c r="E4" s="102">
        <v>4</v>
      </c>
      <c r="F4" s="117">
        <v>3</v>
      </c>
      <c r="G4" s="126">
        <f t="shared" ref="G4:G12" si="1">AVERAGE(C4:F4)</f>
        <v>3.75</v>
      </c>
      <c r="H4" s="111">
        <f t="shared" ref="H4:H12" si="2">MAX(C4:F4)</f>
        <v>4</v>
      </c>
      <c r="I4" s="122">
        <f t="shared" ref="I4:I12" si="3">COUNTIF(C4:F4,"&gt;2")</f>
        <v>4</v>
      </c>
      <c r="J4" s="120">
        <f t="shared" ref="J4:J12" si="4">SUM(C4:F4)/20</f>
        <v>0.75</v>
      </c>
      <c r="U4" s="110">
        <v>2</v>
      </c>
      <c r="V4" s="133" t="s">
        <v>66</v>
      </c>
      <c r="W4" s="133">
        <v>2020</v>
      </c>
      <c r="X4" s="135">
        <v>3</v>
      </c>
      <c r="Y4" s="49">
        <v>1200</v>
      </c>
      <c r="Z4" s="141">
        <f t="shared" si="0"/>
        <v>108312</v>
      </c>
      <c r="AA4" s="156">
        <f t="shared" ref="AA4:AA13" si="5">(Z4-W$15)/W$15</f>
        <v>0.23364485981308417</v>
      </c>
      <c r="AB4" s="154" t="str">
        <f t="shared" ref="AB4:AB13" si="6">IF(Z4&gt;W$15,"да","нет")</f>
        <v>да</v>
      </c>
    </row>
    <row r="5" spans="1:31" x14ac:dyDescent="0.3">
      <c r="A5" s="110">
        <v>3</v>
      </c>
      <c r="B5" s="101" t="s">
        <v>44</v>
      </c>
      <c r="C5" s="102">
        <v>5</v>
      </c>
      <c r="D5" s="102">
        <v>4</v>
      </c>
      <c r="E5" s="102">
        <v>5</v>
      </c>
      <c r="F5" s="117">
        <v>4</v>
      </c>
      <c r="G5" s="126">
        <f t="shared" si="1"/>
        <v>4.5</v>
      </c>
      <c r="H5" s="111">
        <f t="shared" si="2"/>
        <v>5</v>
      </c>
      <c r="I5" s="122">
        <f t="shared" si="3"/>
        <v>4</v>
      </c>
      <c r="J5" s="120">
        <f t="shared" si="4"/>
        <v>0.9</v>
      </c>
      <c r="U5" s="110">
        <v>3</v>
      </c>
      <c r="V5" s="134" t="s">
        <v>67</v>
      </c>
      <c r="W5" s="133">
        <v>2018</v>
      </c>
      <c r="X5" s="135">
        <v>2.8</v>
      </c>
      <c r="Y5" s="49">
        <v>1000</v>
      </c>
      <c r="Z5" s="141">
        <f t="shared" si="0"/>
        <v>90260</v>
      </c>
      <c r="AA5" s="156">
        <f t="shared" si="5"/>
        <v>2.8037383177570138E-2</v>
      </c>
      <c r="AB5" s="154" t="str">
        <f t="shared" si="6"/>
        <v>да</v>
      </c>
    </row>
    <row r="6" spans="1:31" x14ac:dyDescent="0.3">
      <c r="A6" s="110">
        <v>4</v>
      </c>
      <c r="B6" s="101" t="s">
        <v>45</v>
      </c>
      <c r="C6" s="102">
        <v>3</v>
      </c>
      <c r="D6" s="102">
        <v>2</v>
      </c>
      <c r="E6" s="102"/>
      <c r="F6" s="117">
        <v>5</v>
      </c>
      <c r="G6" s="126">
        <f t="shared" si="1"/>
        <v>3.3333333333333335</v>
      </c>
      <c r="H6" s="111">
        <f t="shared" si="2"/>
        <v>5</v>
      </c>
      <c r="I6" s="122">
        <f t="shared" si="3"/>
        <v>2</v>
      </c>
      <c r="J6" s="120">
        <f t="shared" si="4"/>
        <v>0.5</v>
      </c>
      <c r="U6" s="110">
        <v>4</v>
      </c>
      <c r="V6" s="134" t="s">
        <v>68</v>
      </c>
      <c r="W6" s="133">
        <v>2015</v>
      </c>
      <c r="X6" s="135">
        <v>2</v>
      </c>
      <c r="Y6" s="49">
        <v>500</v>
      </c>
      <c r="Z6" s="141">
        <f t="shared" si="0"/>
        <v>45130</v>
      </c>
      <c r="AA6" s="156">
        <f t="shared" si="5"/>
        <v>-0.48598130841121495</v>
      </c>
      <c r="AB6" s="154" t="str">
        <f t="shared" si="6"/>
        <v>нет</v>
      </c>
    </row>
    <row r="7" spans="1:31" x14ac:dyDescent="0.3">
      <c r="A7" s="110">
        <v>5</v>
      </c>
      <c r="B7" s="101" t="s">
        <v>46</v>
      </c>
      <c r="C7" s="102"/>
      <c r="D7" s="102">
        <v>4</v>
      </c>
      <c r="E7" s="102">
        <v>4</v>
      </c>
      <c r="F7" s="117">
        <v>4</v>
      </c>
      <c r="G7" s="126">
        <f t="shared" si="1"/>
        <v>4</v>
      </c>
      <c r="H7" s="111">
        <f t="shared" si="2"/>
        <v>4</v>
      </c>
      <c r="I7" s="122">
        <f t="shared" si="3"/>
        <v>3</v>
      </c>
      <c r="J7" s="120">
        <f t="shared" si="4"/>
        <v>0.6</v>
      </c>
      <c r="U7" s="110">
        <v>5</v>
      </c>
      <c r="V7" s="134" t="s">
        <v>69</v>
      </c>
      <c r="W7" s="133">
        <v>2017</v>
      </c>
      <c r="X7" s="135">
        <v>3.5</v>
      </c>
      <c r="Y7" s="49">
        <v>1500</v>
      </c>
      <c r="Z7" s="141">
        <f t="shared" si="0"/>
        <v>135390</v>
      </c>
      <c r="AA7" s="156">
        <f t="shared" si="5"/>
        <v>0.5420560747663552</v>
      </c>
      <c r="AB7" s="154" t="str">
        <f t="shared" si="6"/>
        <v>да</v>
      </c>
    </row>
    <row r="8" spans="1:31" x14ac:dyDescent="0.3">
      <c r="A8" s="110">
        <v>6</v>
      </c>
      <c r="B8" s="101" t="s">
        <v>47</v>
      </c>
      <c r="C8" s="102">
        <v>4</v>
      </c>
      <c r="D8" s="102">
        <v>3</v>
      </c>
      <c r="E8" s="102">
        <v>4</v>
      </c>
      <c r="F8" s="117">
        <v>3</v>
      </c>
      <c r="G8" s="126">
        <f t="shared" si="1"/>
        <v>3.5</v>
      </c>
      <c r="H8" s="111">
        <f t="shared" si="2"/>
        <v>4</v>
      </c>
      <c r="I8" s="122">
        <f t="shared" si="3"/>
        <v>4</v>
      </c>
      <c r="J8" s="120">
        <f t="shared" si="4"/>
        <v>0.7</v>
      </c>
      <c r="U8" s="110">
        <v>6</v>
      </c>
      <c r="V8" s="134" t="s">
        <v>70</v>
      </c>
      <c r="W8" s="133">
        <v>2021</v>
      </c>
      <c r="X8" s="135">
        <v>3.8</v>
      </c>
      <c r="Y8" s="49">
        <v>2000</v>
      </c>
      <c r="Z8" s="141">
        <f t="shared" si="0"/>
        <v>180520</v>
      </c>
      <c r="AA8" s="156">
        <f t="shared" si="5"/>
        <v>1.0560747663551402</v>
      </c>
      <c r="AB8" s="154" t="str">
        <f t="shared" si="6"/>
        <v>да</v>
      </c>
    </row>
    <row r="9" spans="1:31" x14ac:dyDescent="0.3">
      <c r="A9" s="110">
        <v>7</v>
      </c>
      <c r="B9" s="101" t="s">
        <v>48</v>
      </c>
      <c r="C9" s="102">
        <v>5</v>
      </c>
      <c r="D9" s="102">
        <v>4</v>
      </c>
      <c r="E9" s="102">
        <v>4</v>
      </c>
      <c r="F9" s="117">
        <v>3</v>
      </c>
      <c r="G9" s="126">
        <f t="shared" si="1"/>
        <v>4</v>
      </c>
      <c r="H9" s="111">
        <f t="shared" si="2"/>
        <v>5</v>
      </c>
      <c r="I9" s="122">
        <f t="shared" si="3"/>
        <v>4</v>
      </c>
      <c r="J9" s="120">
        <f t="shared" si="4"/>
        <v>0.8</v>
      </c>
      <c r="U9" s="110">
        <v>7</v>
      </c>
      <c r="V9" s="134" t="s">
        <v>71</v>
      </c>
      <c r="W9" s="133">
        <v>2016</v>
      </c>
      <c r="X9" s="135">
        <v>2.2000000000000002</v>
      </c>
      <c r="Y9" s="49">
        <v>900</v>
      </c>
      <c r="Z9" s="141">
        <f t="shared" si="0"/>
        <v>81234</v>
      </c>
      <c r="AA9" s="156">
        <f t="shared" si="5"/>
        <v>-7.4766355140186869E-2</v>
      </c>
      <c r="AB9" s="154" t="str">
        <f t="shared" si="6"/>
        <v>нет</v>
      </c>
    </row>
    <row r="10" spans="1:31" x14ac:dyDescent="0.3">
      <c r="A10" s="110">
        <v>8</v>
      </c>
      <c r="B10" s="101" t="s">
        <v>49</v>
      </c>
      <c r="C10" s="102">
        <v>5</v>
      </c>
      <c r="D10" s="102">
        <v>5</v>
      </c>
      <c r="E10" s="102">
        <v>5</v>
      </c>
      <c r="F10" s="117">
        <v>5</v>
      </c>
      <c r="G10" s="126">
        <f t="shared" si="1"/>
        <v>5</v>
      </c>
      <c r="H10" s="111">
        <f t="shared" si="2"/>
        <v>5</v>
      </c>
      <c r="I10" s="122">
        <f t="shared" si="3"/>
        <v>4</v>
      </c>
      <c r="J10" s="120">
        <f t="shared" si="4"/>
        <v>1</v>
      </c>
      <c r="U10" s="110">
        <v>8</v>
      </c>
      <c r="V10" s="134" t="s">
        <v>72</v>
      </c>
      <c r="W10" s="133">
        <v>2019</v>
      </c>
      <c r="X10" s="135">
        <v>2.7</v>
      </c>
      <c r="Y10" s="49">
        <v>1100</v>
      </c>
      <c r="Z10" s="141">
        <f t="shared" si="0"/>
        <v>99286</v>
      </c>
      <c r="AA10" s="156">
        <f t="shared" si="5"/>
        <v>0.13084112149532715</v>
      </c>
      <c r="AB10" s="154" t="str">
        <f t="shared" si="6"/>
        <v>да</v>
      </c>
    </row>
    <row r="11" spans="1:31" x14ac:dyDescent="0.3">
      <c r="A11" s="110">
        <v>9</v>
      </c>
      <c r="B11" s="101" t="s">
        <v>50</v>
      </c>
      <c r="C11" s="102"/>
      <c r="D11" s="102">
        <v>3</v>
      </c>
      <c r="E11" s="102">
        <v>3</v>
      </c>
      <c r="F11" s="117">
        <v>3</v>
      </c>
      <c r="G11" s="126">
        <f t="shared" si="1"/>
        <v>3</v>
      </c>
      <c r="H11" s="111">
        <f t="shared" si="2"/>
        <v>3</v>
      </c>
      <c r="I11" s="122">
        <f t="shared" si="3"/>
        <v>3</v>
      </c>
      <c r="J11" s="120">
        <f t="shared" si="4"/>
        <v>0.45</v>
      </c>
      <c r="U11" s="110">
        <v>9</v>
      </c>
      <c r="V11" s="134" t="s">
        <v>73</v>
      </c>
      <c r="W11" s="133">
        <v>2009</v>
      </c>
      <c r="X11" s="135">
        <v>2.4</v>
      </c>
      <c r="Y11" s="49">
        <v>700</v>
      </c>
      <c r="Z11" s="141">
        <f t="shared" si="0"/>
        <v>63182</v>
      </c>
      <c r="AA11" s="156">
        <f t="shared" si="5"/>
        <v>-0.28037383177570091</v>
      </c>
      <c r="AB11" s="154" t="str">
        <f t="shared" si="6"/>
        <v>нет</v>
      </c>
    </row>
    <row r="12" spans="1:31" ht="15" thickBot="1" x14ac:dyDescent="0.35">
      <c r="A12" s="112">
        <v>10</v>
      </c>
      <c r="B12" s="113" t="s">
        <v>51</v>
      </c>
      <c r="C12" s="114"/>
      <c r="D12" s="114"/>
      <c r="E12" s="114">
        <v>2</v>
      </c>
      <c r="F12" s="118">
        <v>2</v>
      </c>
      <c r="G12" s="127">
        <f t="shared" si="1"/>
        <v>2</v>
      </c>
      <c r="H12" s="115">
        <f t="shared" si="2"/>
        <v>2</v>
      </c>
      <c r="I12" s="123">
        <f t="shared" si="3"/>
        <v>0</v>
      </c>
      <c r="J12" s="130">
        <f t="shared" si="4"/>
        <v>0.2</v>
      </c>
      <c r="U12" s="110">
        <v>10</v>
      </c>
      <c r="V12" s="134" t="s">
        <v>74</v>
      </c>
      <c r="W12" s="133">
        <v>2008</v>
      </c>
      <c r="X12" s="135">
        <v>2.2000000000000002</v>
      </c>
      <c r="Y12" s="49">
        <v>600</v>
      </c>
      <c r="Z12" s="141">
        <f t="shared" si="0"/>
        <v>54156</v>
      </c>
      <c r="AA12" s="156">
        <f t="shared" si="5"/>
        <v>-0.38317757009345793</v>
      </c>
      <c r="AB12" s="154" t="str">
        <f t="shared" si="6"/>
        <v>нет</v>
      </c>
    </row>
    <row r="13" spans="1:31" ht="15" thickBot="1" x14ac:dyDescent="0.35">
      <c r="B13" s="158" t="s">
        <v>52</v>
      </c>
      <c r="C13" s="105">
        <f>AVERAGE(C3:C12)</f>
        <v>4.4285714285714288</v>
      </c>
      <c r="D13" s="105">
        <f t="shared" ref="D13:F13" si="7">AVERAGE(D3:D12)</f>
        <v>3.7777777777777777</v>
      </c>
      <c r="E13" s="105">
        <f t="shared" si="7"/>
        <v>4</v>
      </c>
      <c r="F13" s="105">
        <f t="shared" si="7"/>
        <v>3.7</v>
      </c>
      <c r="G13" s="105">
        <f t="shared" ref="G13" si="8">AVERAGE(G3:G12)</f>
        <v>3.8083333333333327</v>
      </c>
      <c r="H13" s="106">
        <f t="shared" ref="H13" si="9">AVERAGE(H3:H12)</f>
        <v>4.2</v>
      </c>
      <c r="U13" s="112">
        <v>11</v>
      </c>
      <c r="V13" s="143" t="s">
        <v>75</v>
      </c>
      <c r="W13" s="144">
        <v>2010</v>
      </c>
      <c r="X13" s="136">
        <v>2</v>
      </c>
      <c r="Y13" s="51">
        <v>400</v>
      </c>
      <c r="Z13" s="142">
        <f t="shared" si="0"/>
        <v>36104</v>
      </c>
      <c r="AA13" s="157">
        <f t="shared" si="5"/>
        <v>-0.58878504672897192</v>
      </c>
      <c r="AB13" s="155" t="str">
        <f t="shared" si="6"/>
        <v>нет</v>
      </c>
    </row>
    <row r="14" spans="1:31" ht="29.4" thickBot="1" x14ac:dyDescent="0.35">
      <c r="B14" s="159" t="s">
        <v>53</v>
      </c>
      <c r="C14" s="103">
        <f>MAX(C3:C12)</f>
        <v>5</v>
      </c>
      <c r="D14" s="103">
        <f t="shared" ref="D14:H14" si="10">MAX(D3:D12)</f>
        <v>5</v>
      </c>
      <c r="E14" s="103">
        <f t="shared" si="10"/>
        <v>5</v>
      </c>
      <c r="F14" s="103">
        <f t="shared" si="10"/>
        <v>5</v>
      </c>
      <c r="G14" s="103">
        <f t="shared" si="10"/>
        <v>5</v>
      </c>
      <c r="H14" s="104">
        <f t="shared" si="10"/>
        <v>5</v>
      </c>
      <c r="T14" s="5"/>
      <c r="U14" s="132"/>
      <c r="V14" s="145" t="s">
        <v>61</v>
      </c>
      <c r="W14" s="146">
        <f>MIN(Z3:Z13)</f>
        <v>36104</v>
      </c>
    </row>
    <row r="15" spans="1:31" ht="58.2" thickBot="1" x14ac:dyDescent="0.35">
      <c r="B15" s="160" t="s">
        <v>54</v>
      </c>
      <c r="C15" s="128">
        <f>COUNTA(C3:C12)</f>
        <v>7</v>
      </c>
      <c r="D15" s="128">
        <f t="shared" ref="D15:F15" si="11">COUNTA(D3:D12)</f>
        <v>9</v>
      </c>
      <c r="E15" s="128">
        <f t="shared" si="11"/>
        <v>9</v>
      </c>
      <c r="F15" s="129">
        <f t="shared" si="11"/>
        <v>10</v>
      </c>
      <c r="V15" s="110" t="s">
        <v>62</v>
      </c>
      <c r="W15" s="147">
        <f>AVERAGE(Z3:Z13)</f>
        <v>87798.363636363632</v>
      </c>
    </row>
    <row r="16" spans="1:31" ht="29.4" thickBot="1" x14ac:dyDescent="0.35">
      <c r="V16" s="148" t="s">
        <v>63</v>
      </c>
      <c r="W16" s="149">
        <f>MAX(Z3:Z13)</f>
        <v>180520</v>
      </c>
      <c r="Y16" s="5"/>
      <c r="AC16" s="139" t="s">
        <v>77</v>
      </c>
      <c r="AD16" s="140">
        <v>90.26</v>
      </c>
      <c r="AE16" s="138" t="s">
        <v>78</v>
      </c>
    </row>
    <row r="17" spans="22:23" ht="58.2" thickBot="1" x14ac:dyDescent="0.35">
      <c r="V17" s="151" t="s">
        <v>64</v>
      </c>
      <c r="W17" s="152">
        <f>COUNTIF(AB3:AB13,"да")</f>
        <v>5</v>
      </c>
    </row>
    <row r="18" spans="22:23" ht="58.2" thickBot="1" x14ac:dyDescent="0.35">
      <c r="V18" s="150" t="s">
        <v>65</v>
      </c>
      <c r="W18" s="153">
        <f>COUNTIF(W3:W13,"&lt;2010")</f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Artem Petrushin</cp:lastModifiedBy>
  <dcterms:created xsi:type="dcterms:W3CDTF">2023-09-13T16:47:56Z</dcterms:created>
  <dcterms:modified xsi:type="dcterms:W3CDTF">2023-12-06T13:46:08Z</dcterms:modified>
</cp:coreProperties>
</file>