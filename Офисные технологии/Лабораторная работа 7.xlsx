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Артём\Desktop\"/>
    </mc:Choice>
  </mc:AlternateContent>
  <xr:revisionPtr revIDLastSave="0" documentId="13_ncr:1_{5B22A17C-1C8E-4D22-9534-0441DFDF7ED0}" xr6:coauthVersionLast="47" xr6:coauthVersionMax="47" xr10:uidLastSave="{00000000-0000-0000-0000-000000000000}"/>
  <bookViews>
    <workbookView xWindow="-108" yWindow="-108" windowWidth="23256" windowHeight="12456" firstSheet="1" activeTab="12" xr2:uid="{92728DD1-1A87-4879-AB24-33230B377D49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0" sheetId="10" r:id="rId10"/>
    <sheet name="Лист11" sheetId="12" r:id="rId11"/>
    <sheet name="Лист12" sheetId="15" r:id="rId12"/>
    <sheet name="Лист13" sheetId="13" r:id="rId13"/>
  </sheets>
  <definedNames>
    <definedName name="_xlnm._FilterDatabase" localSheetId="2" hidden="1">Лист3!$A$1:$F$22</definedName>
    <definedName name="_xlnm._FilterDatabase" localSheetId="3" hidden="1">Лист4!$A$1:$F$22</definedName>
    <definedName name="_xlnm._FilterDatabase" localSheetId="4" hidden="1">Лист5!$A$1:$F$22</definedName>
    <definedName name="_xlnm._FilterDatabase" localSheetId="5" hidden="1">Лист6!$A$1:$F$22</definedName>
  </definedNames>
  <calcPr calcId="191029"/>
  <pivotCaches>
    <pivotCache cacheId="6" r:id="rId14"/>
    <pivotCache cacheId="11" r:id="rId15"/>
    <pivotCache cacheId="1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7" l="1"/>
  <c r="F23" i="7"/>
  <c r="F22" i="7"/>
  <c r="F21" i="7"/>
  <c r="F20" i="7"/>
  <c r="F19" i="7"/>
  <c r="F25" i="7" s="1"/>
  <c r="F17" i="7"/>
  <c r="F16" i="7"/>
  <c r="F15" i="7"/>
  <c r="F14" i="7"/>
  <c r="F13" i="7"/>
  <c r="F18" i="7" s="1"/>
  <c r="F11" i="7"/>
  <c r="F10" i="7"/>
  <c r="F9" i="7"/>
  <c r="F8" i="7"/>
  <c r="F7" i="7"/>
  <c r="F6" i="7"/>
  <c r="F5" i="7"/>
  <c r="F4" i="7"/>
  <c r="F3" i="7"/>
  <c r="F2" i="7"/>
  <c r="F26" i="7" l="1"/>
  <c r="F12" i="7"/>
  <c r="F22" i="15" l="1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5" i="8"/>
  <c r="F31" i="8"/>
  <c r="F32" i="8" s="1"/>
  <c r="F21" i="8"/>
  <c r="F13" i="8"/>
  <c r="F25" i="8"/>
  <c r="F24" i="8"/>
  <c r="F18" i="8"/>
  <c r="F9" i="8"/>
  <c r="F8" i="8"/>
  <c r="F10" i="8" s="1"/>
  <c r="F12" i="8"/>
  <c r="F4" i="8"/>
  <c r="F7" i="8"/>
  <c r="F6" i="8"/>
  <c r="F3" i="8"/>
  <c r="F29" i="8"/>
  <c r="F17" i="8"/>
  <c r="F28" i="8"/>
  <c r="F2" i="8"/>
  <c r="F20" i="8"/>
  <c r="F22" i="8" s="1"/>
  <c r="F27" i="8"/>
  <c r="F30" i="8" s="1"/>
  <c r="F16" i="8"/>
  <c r="F19" i="8" s="1"/>
  <c r="F11" i="8"/>
  <c r="F14" i="8" s="1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2" i="2"/>
  <c r="F16" i="2"/>
  <c r="F11" i="2"/>
  <c r="F21" i="2"/>
  <c r="F20" i="2"/>
  <c r="F15" i="2"/>
  <c r="F10" i="2"/>
  <c r="F9" i="2"/>
  <c r="F8" i="2"/>
  <c r="F7" i="2"/>
  <c r="F6" i="2"/>
  <c r="F5" i="2"/>
  <c r="F4" i="2"/>
  <c r="F19" i="2"/>
  <c r="F14" i="2"/>
  <c r="F18" i="2"/>
  <c r="F3" i="2"/>
  <c r="F13" i="2"/>
  <c r="F17" i="2"/>
  <c r="F12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F23" i="8" l="1"/>
  <c r="F26" i="8"/>
  <c r="F33" i="8" s="1"/>
  <c r="F15" i="8"/>
  <c r="F34" i="8" s="1"/>
</calcChain>
</file>

<file path=xl/sharedStrings.xml><?xml version="1.0" encoding="utf-8"?>
<sst xmlns="http://schemas.openxmlformats.org/spreadsheetml/2006/main" count="724" uniqueCount="25">
  <si>
    <t>ДАТА</t>
  </si>
  <si>
    <t>ПРОДАВЕЦ</t>
  </si>
  <si>
    <t>ТОВАР</t>
  </si>
  <si>
    <t>КОЛ-ВО</t>
  </si>
  <si>
    <t>ЦЕНА</t>
  </si>
  <si>
    <t>ВЫРУЧКА</t>
  </si>
  <si>
    <t>Ивин Н.А.</t>
  </si>
  <si>
    <t>Марченко К.Д.</t>
  </si>
  <si>
    <t>Петров А.С</t>
  </si>
  <si>
    <t xml:space="preserve">Рыба </t>
  </si>
  <si>
    <t>Молоко</t>
  </si>
  <si>
    <t>Мясо</t>
  </si>
  <si>
    <t>Ивин Н.А. Итог</t>
  </si>
  <si>
    <t>Марченко К.Д. Итог</t>
  </si>
  <si>
    <t>Петров А.С Итог</t>
  </si>
  <si>
    <t>Общий итог</t>
  </si>
  <si>
    <t>Молоко Итог</t>
  </si>
  <si>
    <t>Мясо Итог</t>
  </si>
  <si>
    <t>Рыба  Итог</t>
  </si>
  <si>
    <t>Сумма по полю ВЫРУЧКА</t>
  </si>
  <si>
    <t>Названия строк</t>
  </si>
  <si>
    <t>Названия столбцов</t>
  </si>
  <si>
    <t>Среднее по полю ВЫРУЧКА</t>
  </si>
  <si>
    <t>янв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</si>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</sst>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 applyFont="1"/>
    <xf numFmtId="2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ём" refreshedDate="45266.668712500003" createdVersion="7" refreshedVersion="7" minRefreshableVersion="3" recordCount="21" xr:uid="{8B0D757A-A48C-48DB-9F7B-0BC57E3B8C54}">
  <cacheSource type="worksheet">
    <worksheetSource ref="A1:F22" sheet="Лист9"/>
  </cacheSource>
  <cacheFields count="6">
    <cacheField name="ДАТА" numFmtId="14">
      <sharedItems containsSemiMixedTypes="0" containsNonDate="0" containsDate="1" containsString="0" minDate="2010-01-12T00:00:00" maxDate="2010-01-22T00:00:00" count="9">
        <d v="2010-01-12T00:00:00"/>
        <d v="2010-01-13T00:00:00"/>
        <d v="2010-01-14T00:00:00"/>
        <d v="2010-01-15T00:00:00"/>
        <d v="2010-01-16T00:00:00"/>
        <d v="2010-01-18T00:00:00"/>
        <d v="2010-01-19T00:00:00"/>
        <d v="2010-01-20T00:00:00"/>
        <d v="2010-01-21T00:00:00"/>
      </sharedItems>
    </cacheField>
    <cacheField name="ПРОДАВЕЦ" numFmtId="0">
      <sharedItems count="3">
        <s v="Ивин Н.А."/>
        <s v="Марченко К.Д."/>
        <s v="Петров А.С"/>
      </sharedItems>
    </cacheField>
    <cacheField name="ТОВАР" numFmtId="0">
      <sharedItems count="3">
        <s v="Рыба "/>
        <s v="Молоко"/>
        <s v="Мясо"/>
      </sharedItems>
    </cacheField>
    <cacheField name="КОЛ-ВО" numFmtId="0">
      <sharedItems containsSemiMixedTypes="0" containsString="0" containsNumber="1" containsInteger="1" minValue="1" maxValue="200"/>
    </cacheField>
    <cacheField name="ЦЕНА" numFmtId="2">
      <sharedItems containsSemiMixedTypes="0" containsString="0" containsNumber="1" minValue="4.5" maxValue="50"/>
    </cacheField>
    <cacheField name="ВЫРУЧКА" numFmtId="2">
      <sharedItems containsSemiMixedTypes="0" containsString="0" containsNumber="1" minValue="22.5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ём" refreshedDate="45266.677654513885" createdVersion="7" refreshedVersion="7" minRefreshableVersion="3" recordCount="21" xr:uid="{D43194DF-A0AD-4550-8F72-C83AFFF0B2C6}">
  <cacheSource type="worksheet">
    <worksheetSource ref="A1:F22" sheet="Лист13"/>
  </cacheSource>
  <cacheFields count="6">
    <cacheField name="ДАТА" numFmtId="14">
      <sharedItems containsSemiMixedTypes="0" containsNonDate="0" containsDate="1" containsString="0" minDate="2010-01-12T00:00:00" maxDate="2010-01-22T00:00:00" count="9">
        <d v="2010-01-12T00:00:00"/>
        <d v="2010-01-13T00:00:00"/>
        <d v="2010-01-14T00:00:00"/>
        <d v="2010-01-15T00:00:00"/>
        <d v="2010-01-16T00:00:00"/>
        <d v="2010-01-18T00:00:00"/>
        <d v="2010-01-19T00:00:00"/>
        <d v="2010-01-20T00:00:00"/>
        <d v="2010-01-21T00:00:00"/>
      </sharedItems>
    </cacheField>
    <cacheField name="ПРОДАВЕЦ" numFmtId="0">
      <sharedItems count="3">
        <s v="Ивин Н.А."/>
        <s v="Марченко К.Д."/>
        <s v="Петров А.С"/>
      </sharedItems>
    </cacheField>
    <cacheField name="ТОВАР" numFmtId="0">
      <sharedItems count="3">
        <s v="Рыба "/>
        <s v="Молоко"/>
        <s v="Мясо"/>
      </sharedItems>
    </cacheField>
    <cacheField name="КОЛ-ВО" numFmtId="0">
      <sharedItems containsSemiMixedTypes="0" containsString="0" containsNumber="1" containsInteger="1" minValue="1" maxValue="200"/>
    </cacheField>
    <cacheField name="ЦЕНА" numFmtId="2">
      <sharedItems containsSemiMixedTypes="0" containsString="0" containsNumber="1" minValue="4.5" maxValue="50"/>
    </cacheField>
    <cacheField name="ВЫРУЧКА" numFmtId="2">
      <sharedItems containsSemiMixedTypes="0" containsString="0" containsNumber="1" minValue="22.5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ём" refreshedDate="45266.678989467589" createdVersion="7" refreshedVersion="7" minRefreshableVersion="3" recordCount="21" xr:uid="{3BD6252D-B09B-40F0-9243-D9F9519DC702}">
  <cacheSource type="worksheet">
    <worksheetSource ref="A1:F22" sheet="Лист12"/>
  </cacheSource>
  <cacheFields count="6">
    <cacheField name="ДАТА" numFmtId="14">
      <sharedItems containsSemiMixedTypes="0" containsNonDate="0" containsDate="1" containsString="0" minDate="2010-01-12T00:00:00" maxDate="2010-01-22T00:00:00" count="9">
        <d v="2010-01-12T00:00:00"/>
        <d v="2010-01-13T00:00:00"/>
        <d v="2010-01-14T00:00:00"/>
        <d v="2010-01-15T00:00:00"/>
        <d v="2010-01-16T00:00:00"/>
        <d v="2010-01-18T00:00:00"/>
        <d v="2010-01-19T00:00:00"/>
        <d v="2010-01-20T00:00:00"/>
        <d v="2010-01-21T00:00:00"/>
      </sharedItems>
      <fieldGroup base="0">
        <rangePr groupBy="months" startDate="2010-01-12T00:00:00" endDate="2010-01-22T00:00:00"/>
        <groupItems count="14">
          <s v="&lt;12.01.201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2.01.2010"/>
        </groupItems>
      </fieldGroup>
    </cacheField>
    <cacheField name="ПРОДАВЕЦ" numFmtId="0">
      <sharedItems count="3">
        <s v="Ивин Н.А."/>
        <s v="Марченко К.Д."/>
        <s v="Петров А.С"/>
      </sharedItems>
    </cacheField>
    <cacheField name="ТОВАР" numFmtId="0">
      <sharedItems count="3">
        <s v="Рыба "/>
        <s v="Молоко"/>
        <s v="Мясо"/>
      </sharedItems>
    </cacheField>
    <cacheField name="КОЛ-ВО" numFmtId="0">
      <sharedItems containsSemiMixedTypes="0" containsString="0" containsNumber="1" containsInteger="1" minValue="1" maxValue="200"/>
    </cacheField>
    <cacheField name="ЦЕНА" numFmtId="2">
      <sharedItems containsSemiMixedTypes="0" containsString="0" containsNumber="1" minValue="4.5" maxValue="50"/>
    </cacheField>
    <cacheField name="ВЫРУЧКА" numFmtId="2">
      <sharedItems containsSemiMixedTypes="0" containsString="0" containsNumber="1" minValue="22.5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n v="10"/>
    <n v="15"/>
    <n v="150"/>
  </r>
  <r>
    <x v="0"/>
    <x v="1"/>
    <x v="1"/>
    <n v="15"/>
    <n v="4.8"/>
    <n v="72"/>
  </r>
  <r>
    <x v="0"/>
    <x v="2"/>
    <x v="2"/>
    <n v="20"/>
    <n v="24"/>
    <n v="480"/>
  </r>
  <r>
    <x v="1"/>
    <x v="1"/>
    <x v="0"/>
    <n v="10"/>
    <n v="20"/>
    <n v="200"/>
  </r>
  <r>
    <x v="2"/>
    <x v="0"/>
    <x v="1"/>
    <n v="23"/>
    <n v="5.2"/>
    <n v="119.60000000000001"/>
  </r>
  <r>
    <x v="2"/>
    <x v="2"/>
    <x v="2"/>
    <n v="1"/>
    <n v="22.5"/>
    <n v="22.5"/>
  </r>
  <r>
    <x v="3"/>
    <x v="1"/>
    <x v="1"/>
    <n v="19"/>
    <n v="4.9000000000000004"/>
    <n v="93.100000000000009"/>
  </r>
  <r>
    <x v="3"/>
    <x v="2"/>
    <x v="2"/>
    <n v="3"/>
    <n v="50"/>
    <n v="150"/>
  </r>
  <r>
    <x v="4"/>
    <x v="0"/>
    <x v="1"/>
    <n v="40"/>
    <n v="6.2"/>
    <n v="248"/>
  </r>
  <r>
    <x v="4"/>
    <x v="0"/>
    <x v="2"/>
    <n v="20"/>
    <n v="18.5"/>
    <n v="370"/>
  </r>
  <r>
    <x v="4"/>
    <x v="0"/>
    <x v="2"/>
    <n v="50"/>
    <n v="21"/>
    <n v="1050"/>
  </r>
  <r>
    <x v="5"/>
    <x v="0"/>
    <x v="1"/>
    <n v="10"/>
    <n v="12"/>
    <n v="120"/>
  </r>
  <r>
    <x v="5"/>
    <x v="0"/>
    <x v="0"/>
    <n v="50"/>
    <n v="28.5"/>
    <n v="1425"/>
  </r>
  <r>
    <x v="6"/>
    <x v="0"/>
    <x v="2"/>
    <n v="20"/>
    <n v="25"/>
    <n v="500"/>
  </r>
  <r>
    <x v="6"/>
    <x v="0"/>
    <x v="2"/>
    <n v="50"/>
    <n v="21.5"/>
    <n v="1075"/>
  </r>
  <r>
    <x v="7"/>
    <x v="1"/>
    <x v="1"/>
    <n v="200"/>
    <n v="4.5"/>
    <n v="900"/>
  </r>
  <r>
    <x v="7"/>
    <x v="2"/>
    <x v="1"/>
    <n v="30"/>
    <n v="5"/>
    <n v="150"/>
  </r>
  <r>
    <x v="7"/>
    <x v="2"/>
    <x v="1"/>
    <n v="20"/>
    <n v="4.5"/>
    <n v="90"/>
  </r>
  <r>
    <x v="8"/>
    <x v="0"/>
    <x v="0"/>
    <n v="60"/>
    <n v="30"/>
    <n v="1800"/>
  </r>
  <r>
    <x v="8"/>
    <x v="1"/>
    <x v="0"/>
    <n v="50"/>
    <n v="25.5"/>
    <n v="1275"/>
  </r>
  <r>
    <x v="8"/>
    <x v="2"/>
    <x v="0"/>
    <n v="40"/>
    <n v="28"/>
    <n v="1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n v="10"/>
    <n v="15"/>
    <n v="150"/>
  </r>
  <r>
    <x v="0"/>
    <x v="1"/>
    <x v="1"/>
    <n v="15"/>
    <n v="4.8"/>
    <n v="72"/>
  </r>
  <r>
    <x v="0"/>
    <x v="2"/>
    <x v="2"/>
    <n v="20"/>
    <n v="24"/>
    <n v="480"/>
  </r>
  <r>
    <x v="1"/>
    <x v="1"/>
    <x v="0"/>
    <n v="10"/>
    <n v="20"/>
    <n v="200"/>
  </r>
  <r>
    <x v="2"/>
    <x v="0"/>
    <x v="1"/>
    <n v="23"/>
    <n v="5.2"/>
    <n v="119.60000000000001"/>
  </r>
  <r>
    <x v="2"/>
    <x v="2"/>
    <x v="2"/>
    <n v="1"/>
    <n v="22.5"/>
    <n v="22.5"/>
  </r>
  <r>
    <x v="3"/>
    <x v="1"/>
    <x v="1"/>
    <n v="19"/>
    <n v="4.9000000000000004"/>
    <n v="93.100000000000009"/>
  </r>
  <r>
    <x v="3"/>
    <x v="2"/>
    <x v="2"/>
    <n v="3"/>
    <n v="50"/>
    <n v="150"/>
  </r>
  <r>
    <x v="4"/>
    <x v="0"/>
    <x v="1"/>
    <n v="40"/>
    <n v="6.2"/>
    <n v="248"/>
  </r>
  <r>
    <x v="4"/>
    <x v="0"/>
    <x v="2"/>
    <n v="20"/>
    <n v="18.5"/>
    <n v="370"/>
  </r>
  <r>
    <x v="4"/>
    <x v="0"/>
    <x v="2"/>
    <n v="50"/>
    <n v="21"/>
    <n v="1050"/>
  </r>
  <r>
    <x v="5"/>
    <x v="0"/>
    <x v="1"/>
    <n v="10"/>
    <n v="12"/>
    <n v="120"/>
  </r>
  <r>
    <x v="5"/>
    <x v="0"/>
    <x v="0"/>
    <n v="50"/>
    <n v="28.5"/>
    <n v="1425"/>
  </r>
  <r>
    <x v="6"/>
    <x v="0"/>
    <x v="2"/>
    <n v="20"/>
    <n v="25"/>
    <n v="500"/>
  </r>
  <r>
    <x v="6"/>
    <x v="0"/>
    <x v="2"/>
    <n v="50"/>
    <n v="21.5"/>
    <n v="1075"/>
  </r>
  <r>
    <x v="7"/>
    <x v="1"/>
    <x v="1"/>
    <n v="200"/>
    <n v="4.5"/>
    <n v="900"/>
  </r>
  <r>
    <x v="7"/>
    <x v="2"/>
    <x v="1"/>
    <n v="30"/>
    <n v="5"/>
    <n v="150"/>
  </r>
  <r>
    <x v="7"/>
    <x v="2"/>
    <x v="1"/>
    <n v="20"/>
    <n v="4.5"/>
    <n v="90"/>
  </r>
  <r>
    <x v="8"/>
    <x v="0"/>
    <x v="0"/>
    <n v="60"/>
    <n v="30"/>
    <n v="1800"/>
  </r>
  <r>
    <x v="8"/>
    <x v="1"/>
    <x v="0"/>
    <n v="50"/>
    <n v="25.5"/>
    <n v="1275"/>
  </r>
  <r>
    <x v="8"/>
    <x v="2"/>
    <x v="0"/>
    <n v="40"/>
    <n v="28"/>
    <n v="1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n v="10"/>
    <n v="15"/>
    <n v="150"/>
  </r>
  <r>
    <x v="0"/>
    <x v="1"/>
    <x v="1"/>
    <n v="15"/>
    <n v="4.8"/>
    <n v="72"/>
  </r>
  <r>
    <x v="0"/>
    <x v="2"/>
    <x v="2"/>
    <n v="20"/>
    <n v="24"/>
    <n v="480"/>
  </r>
  <r>
    <x v="1"/>
    <x v="1"/>
    <x v="0"/>
    <n v="10"/>
    <n v="20"/>
    <n v="200"/>
  </r>
  <r>
    <x v="2"/>
    <x v="0"/>
    <x v="1"/>
    <n v="23"/>
    <n v="5.2"/>
    <n v="119.60000000000001"/>
  </r>
  <r>
    <x v="2"/>
    <x v="2"/>
    <x v="2"/>
    <n v="1"/>
    <n v="22.5"/>
    <n v="22.5"/>
  </r>
  <r>
    <x v="3"/>
    <x v="1"/>
    <x v="1"/>
    <n v="19"/>
    <n v="4.9000000000000004"/>
    <n v="93.100000000000009"/>
  </r>
  <r>
    <x v="3"/>
    <x v="2"/>
    <x v="2"/>
    <n v="3"/>
    <n v="50"/>
    <n v="150"/>
  </r>
  <r>
    <x v="4"/>
    <x v="0"/>
    <x v="1"/>
    <n v="40"/>
    <n v="6.2"/>
    <n v="248"/>
  </r>
  <r>
    <x v="4"/>
    <x v="0"/>
    <x v="2"/>
    <n v="20"/>
    <n v="18.5"/>
    <n v="370"/>
  </r>
  <r>
    <x v="4"/>
    <x v="0"/>
    <x v="2"/>
    <n v="50"/>
    <n v="21"/>
    <n v="1050"/>
  </r>
  <r>
    <x v="5"/>
    <x v="0"/>
    <x v="1"/>
    <n v="10"/>
    <n v="12"/>
    <n v="120"/>
  </r>
  <r>
    <x v="5"/>
    <x v="0"/>
    <x v="0"/>
    <n v="50"/>
    <n v="28.5"/>
    <n v="1425"/>
  </r>
  <r>
    <x v="6"/>
    <x v="0"/>
    <x v="2"/>
    <n v="20"/>
    <n v="25"/>
    <n v="500"/>
  </r>
  <r>
    <x v="6"/>
    <x v="0"/>
    <x v="2"/>
    <n v="50"/>
    <n v="21.5"/>
    <n v="1075"/>
  </r>
  <r>
    <x v="7"/>
    <x v="1"/>
    <x v="1"/>
    <n v="200"/>
    <n v="4.5"/>
    <n v="900"/>
  </r>
  <r>
    <x v="7"/>
    <x v="2"/>
    <x v="1"/>
    <n v="30"/>
    <n v="5"/>
    <n v="150"/>
  </r>
  <r>
    <x v="7"/>
    <x v="2"/>
    <x v="1"/>
    <n v="20"/>
    <n v="4.5"/>
    <n v="90"/>
  </r>
  <r>
    <x v="8"/>
    <x v="0"/>
    <x v="0"/>
    <n v="60"/>
    <n v="30"/>
    <n v="1800"/>
  </r>
  <r>
    <x v="8"/>
    <x v="1"/>
    <x v="0"/>
    <n v="50"/>
    <n v="25.5"/>
    <n v="1275"/>
  </r>
  <r>
    <x v="8"/>
    <x v="2"/>
    <x v="0"/>
    <n v="40"/>
    <n v="28"/>
    <n v="1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3AF27-D5C4-47B3-9D1F-B5AFB055B1F5}" name="Сводная таблица1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I1:S14" firstHeaderRow="1" firstDataRow="2" firstDataCol="1"/>
  <pivotFields count="6">
    <pivotField axis="axisCol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numFmtId="2" showAll="0"/>
    <pivotField dataField="1" numFmtId="2" showAll="0"/>
  </pivotFields>
  <rowFields count="2">
    <field x="1"/>
    <field x="2"/>
  </rowFields>
  <rowItems count="12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Сумма по полю ВЫРУЧК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87829-6BFB-438C-9EB2-58BAFFCB7477}" name="Сводная таблица2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I1:S14" firstHeaderRow="1" firstDataRow="2" firstDataCol="1"/>
  <pivotFields count="6">
    <pivotField axis="axisCol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numFmtId="2" showAll="0"/>
    <pivotField dataField="1" numFmtId="2" showAll="0"/>
  </pivotFields>
  <rowFields count="2">
    <field x="1"/>
    <field x="2"/>
  </rowFields>
  <rowItems count="12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Среднее по полю ВЫРУЧКА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2865E-7EA4-4B92-8E74-D375EC55B01D}" name="Сводная таблица3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I1:S14" firstHeaderRow="1" firstDataRow="2" firstDataCol="1"/>
  <pivotFields count="6">
    <pivotField axis="axisCol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numFmtId="2" showAll="0"/>
    <pivotField dataField="1" numFmtId="2" showAll="0"/>
  </pivotFields>
  <rowFields count="2">
    <field x="1"/>
    <field x="2"/>
  </rowFields>
  <rowItems count="12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Среднее по полю ВЫРУЧКА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84750-59D4-46E9-9AC5-205D1F9072C5}" name="Сводная таблица5" cacheId="1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I1:K14" firstHeaderRow="1" firstDataRow="2" firstDataCol="1"/>
  <pivotFields count="6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numFmtId="2" showAll="0"/>
    <pivotField dataField="1" numFmtId="2" showAll="0"/>
  </pivotFields>
  <rowFields count="2">
    <field x="1"/>
    <field x="2"/>
  </rowFields>
  <rowItems count="12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0"/>
  </colFields>
  <colItems count="2">
    <i>
      <x v="1"/>
    </i>
    <i t="grand">
      <x/>
    </i>
  </colItems>
  <dataFields count="1">
    <dataField name="Сумма по полю ВЫРУЧК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C7B47-05D7-412E-9B74-7AA271D2ECE7}" name="Сводная таблица4" cacheId="1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I3:M8" firstHeaderRow="1" firstDataRow="2" firstDataCol="1" rowPageCount="1" colPageCount="1"/>
  <pivotFields count="6">
    <pivotField axis="axisPage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numFmtId="2" showAll="0"/>
    <pivotField dataField="1"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Сумма по полю ВЫРУЧК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5B1D-298F-4DE5-A55D-089829DAA3B7}">
  <dimension ref="A1:R22"/>
  <sheetViews>
    <sheetView workbookViewId="0">
      <selection activeCell="I11" sqref="I11"/>
    </sheetView>
  </sheetViews>
  <sheetFormatPr defaultRowHeight="14.4" x14ac:dyDescent="0.3"/>
  <cols>
    <col min="1" max="1" width="10.109375" bestFit="1" customWidth="1"/>
    <col min="2" max="2" width="13.33203125" customWidth="1"/>
    <col min="17" max="17" width="15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Q1" t="s">
        <v>6</v>
      </c>
      <c r="R1" t="s">
        <v>9</v>
      </c>
    </row>
    <row r="2" spans="1:18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  <c r="Q2" t="s">
        <v>7</v>
      </c>
      <c r="R2" t="s">
        <v>10</v>
      </c>
    </row>
    <row r="3" spans="1:18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  <c r="Q3" t="s">
        <v>8</v>
      </c>
      <c r="R3" t="s">
        <v>11</v>
      </c>
    </row>
    <row r="4" spans="1:18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</row>
    <row r="5" spans="1:18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</row>
    <row r="6" spans="1:18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</row>
    <row r="7" spans="1:18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</row>
    <row r="8" spans="1:18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</row>
    <row r="9" spans="1:18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</row>
    <row r="10" spans="1:18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</row>
    <row r="11" spans="1:18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</row>
    <row r="12" spans="1:18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</row>
    <row r="13" spans="1:18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</row>
    <row r="14" spans="1:18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</row>
    <row r="15" spans="1:18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18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dataValidations count="2">
    <dataValidation type="list" allowBlank="1" showInputMessage="1" showErrorMessage="1" sqref="B2:B22" xr:uid="{62C1B3A7-9186-47D1-B4B9-BFEA71B12DD0}">
      <formula1>$Q$1:$Q$3</formula1>
    </dataValidation>
    <dataValidation type="list" allowBlank="1" showInputMessage="1" showErrorMessage="1" sqref="C2:C22" xr:uid="{D55A3389-56AE-4FD3-A2B7-F2066185944B}">
      <formula1>$R$1:$R$3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FF49-1D1A-4A70-BC6F-BEFA867B38E8}">
  <dimension ref="A1:F22"/>
  <sheetViews>
    <sheetView workbookViewId="0">
      <selection activeCell="I14" sqref="I14"/>
    </sheetView>
  </sheetViews>
  <sheetFormatPr defaultRowHeight="14.4" x14ac:dyDescent="0.3"/>
  <cols>
    <col min="1" max="1" width="11" customWidth="1"/>
    <col min="2" max="2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</row>
    <row r="3" spans="1:6" x14ac:dyDescent="0.3">
      <c r="A3" s="1">
        <v>40192</v>
      </c>
      <c r="B3" t="s">
        <v>6</v>
      </c>
      <c r="C3" t="s">
        <v>10</v>
      </c>
      <c r="D3">
        <v>23</v>
      </c>
      <c r="E3" s="2">
        <v>5.2</v>
      </c>
      <c r="F3" s="3">
        <f>E3*D3</f>
        <v>119.60000000000001</v>
      </c>
    </row>
    <row r="4" spans="1:6" x14ac:dyDescent="0.3">
      <c r="A4" s="1">
        <v>40194</v>
      </c>
      <c r="B4" t="s">
        <v>6</v>
      </c>
      <c r="C4" t="s">
        <v>10</v>
      </c>
      <c r="D4">
        <v>40</v>
      </c>
      <c r="E4" s="2">
        <v>6.2</v>
      </c>
      <c r="F4" s="3">
        <f>E4*D4</f>
        <v>248</v>
      </c>
    </row>
    <row r="5" spans="1:6" x14ac:dyDescent="0.3">
      <c r="A5" s="1">
        <v>40194</v>
      </c>
      <c r="B5" t="s">
        <v>6</v>
      </c>
      <c r="C5" t="s">
        <v>11</v>
      </c>
      <c r="D5">
        <v>20</v>
      </c>
      <c r="E5" s="2">
        <v>18.5</v>
      </c>
      <c r="F5" s="3">
        <f>E5*D5</f>
        <v>370</v>
      </c>
    </row>
    <row r="6" spans="1:6" x14ac:dyDescent="0.3">
      <c r="A6" s="1">
        <v>40194</v>
      </c>
      <c r="B6" t="s">
        <v>6</v>
      </c>
      <c r="C6" t="s">
        <v>11</v>
      </c>
      <c r="D6">
        <v>50</v>
      </c>
      <c r="E6" s="2">
        <v>21</v>
      </c>
      <c r="F6" s="3">
        <f>E6*D6</f>
        <v>1050</v>
      </c>
    </row>
    <row r="7" spans="1:6" x14ac:dyDescent="0.3">
      <c r="A7" s="1">
        <v>40196</v>
      </c>
      <c r="B7" t="s">
        <v>6</v>
      </c>
      <c r="C7" t="s">
        <v>10</v>
      </c>
      <c r="D7">
        <v>10</v>
      </c>
      <c r="E7" s="2">
        <v>12</v>
      </c>
      <c r="F7" s="3">
        <f>E7*D7</f>
        <v>120</v>
      </c>
    </row>
    <row r="8" spans="1:6" x14ac:dyDescent="0.3">
      <c r="A8" s="1">
        <v>40196</v>
      </c>
      <c r="B8" t="s">
        <v>6</v>
      </c>
      <c r="C8" t="s">
        <v>9</v>
      </c>
      <c r="D8">
        <v>50</v>
      </c>
      <c r="E8" s="2">
        <v>28.5</v>
      </c>
      <c r="F8" s="3">
        <f>E8*D8</f>
        <v>1425</v>
      </c>
    </row>
    <row r="9" spans="1:6" x14ac:dyDescent="0.3">
      <c r="A9" s="1">
        <v>40197</v>
      </c>
      <c r="B9" t="s">
        <v>6</v>
      </c>
      <c r="C9" t="s">
        <v>11</v>
      </c>
      <c r="D9">
        <v>20</v>
      </c>
      <c r="E9" s="2">
        <v>25</v>
      </c>
      <c r="F9" s="3">
        <f>E9*D9</f>
        <v>500</v>
      </c>
    </row>
    <row r="10" spans="1:6" x14ac:dyDescent="0.3">
      <c r="A10" s="1">
        <v>40197</v>
      </c>
      <c r="B10" t="s">
        <v>6</v>
      </c>
      <c r="C10" t="s">
        <v>11</v>
      </c>
      <c r="D10">
        <v>50</v>
      </c>
      <c r="E10" s="2">
        <v>21.5</v>
      </c>
      <c r="F10" s="3">
        <f>E10*D10</f>
        <v>1075</v>
      </c>
    </row>
    <row r="11" spans="1:6" x14ac:dyDescent="0.3">
      <c r="A11" s="1">
        <v>40199</v>
      </c>
      <c r="B11" t="s">
        <v>6</v>
      </c>
      <c r="C11" t="s">
        <v>9</v>
      </c>
      <c r="D11">
        <v>60</v>
      </c>
      <c r="E11" s="2">
        <v>30</v>
      </c>
      <c r="F11" s="3">
        <f>E11*D11</f>
        <v>1800</v>
      </c>
    </row>
    <row r="12" spans="1:6" x14ac:dyDescent="0.3">
      <c r="A12" s="1">
        <v>40190</v>
      </c>
      <c r="B12" t="s">
        <v>7</v>
      </c>
      <c r="C12" t="s">
        <v>10</v>
      </c>
      <c r="D12">
        <v>15</v>
      </c>
      <c r="E12" s="2">
        <v>4.8</v>
      </c>
      <c r="F12" s="3">
        <f>E12*D12</f>
        <v>72</v>
      </c>
    </row>
    <row r="13" spans="1:6" x14ac:dyDescent="0.3">
      <c r="A13" s="1">
        <v>40191</v>
      </c>
      <c r="B13" t="s">
        <v>7</v>
      </c>
      <c r="C13" t="s">
        <v>9</v>
      </c>
      <c r="D13">
        <v>10</v>
      </c>
      <c r="E13" s="2">
        <v>20</v>
      </c>
      <c r="F13" s="3">
        <f>E13*D13</f>
        <v>200</v>
      </c>
    </row>
    <row r="14" spans="1:6" x14ac:dyDescent="0.3">
      <c r="A14" s="1">
        <v>40193</v>
      </c>
      <c r="B14" t="s">
        <v>7</v>
      </c>
      <c r="C14" t="s">
        <v>10</v>
      </c>
      <c r="D14">
        <v>19</v>
      </c>
      <c r="E14" s="2">
        <v>4.9000000000000004</v>
      </c>
      <c r="F14" s="3">
        <f>E14*D14</f>
        <v>93.100000000000009</v>
      </c>
    </row>
    <row r="15" spans="1:6" x14ac:dyDescent="0.3">
      <c r="A15" s="1">
        <v>40198</v>
      </c>
      <c r="B15" t="s">
        <v>7</v>
      </c>
      <c r="C15" t="s">
        <v>10</v>
      </c>
      <c r="D15">
        <v>200</v>
      </c>
      <c r="E15" s="2">
        <v>4.5</v>
      </c>
      <c r="F15" s="3">
        <f>E15*D15</f>
        <v>900</v>
      </c>
    </row>
    <row r="16" spans="1:6" x14ac:dyDescent="0.3">
      <c r="A16" s="1">
        <v>40199</v>
      </c>
      <c r="B16" t="s">
        <v>7</v>
      </c>
      <c r="C16" t="s">
        <v>9</v>
      </c>
      <c r="D16">
        <v>50</v>
      </c>
      <c r="E16" s="2">
        <v>25.5</v>
      </c>
      <c r="F16" s="3">
        <f>E16*D16</f>
        <v>1275</v>
      </c>
    </row>
    <row r="17" spans="1:6" x14ac:dyDescent="0.3">
      <c r="A17" s="1">
        <v>40190</v>
      </c>
      <c r="B17" t="s">
        <v>8</v>
      </c>
      <c r="C17" t="s">
        <v>11</v>
      </c>
      <c r="D17">
        <v>20</v>
      </c>
      <c r="E17" s="2">
        <v>24</v>
      </c>
      <c r="F17" s="3">
        <f>E17*D17</f>
        <v>480</v>
      </c>
    </row>
    <row r="18" spans="1:6" x14ac:dyDescent="0.3">
      <c r="A18" s="1">
        <v>40192</v>
      </c>
      <c r="B18" t="s">
        <v>8</v>
      </c>
      <c r="C18" t="s">
        <v>11</v>
      </c>
      <c r="D18">
        <v>1</v>
      </c>
      <c r="E18" s="2">
        <v>22.5</v>
      </c>
      <c r="F18" s="3">
        <f>E18*D18</f>
        <v>22.5</v>
      </c>
    </row>
    <row r="19" spans="1:6" x14ac:dyDescent="0.3">
      <c r="A19" s="1">
        <v>40193</v>
      </c>
      <c r="B19" t="s">
        <v>8</v>
      </c>
      <c r="C19" t="s">
        <v>11</v>
      </c>
      <c r="D19">
        <v>3</v>
      </c>
      <c r="E19" s="2">
        <v>50</v>
      </c>
      <c r="F19" s="3">
        <f>E19*D19</f>
        <v>150</v>
      </c>
    </row>
    <row r="20" spans="1:6" x14ac:dyDescent="0.3">
      <c r="A20" s="1">
        <v>40198</v>
      </c>
      <c r="B20" t="s">
        <v>8</v>
      </c>
      <c r="C20" t="s">
        <v>10</v>
      </c>
      <c r="D20">
        <v>30</v>
      </c>
      <c r="E20" s="2">
        <v>5</v>
      </c>
      <c r="F20" s="3">
        <f>E20*D20</f>
        <v>150</v>
      </c>
    </row>
    <row r="21" spans="1:6" x14ac:dyDescent="0.3">
      <c r="A21" s="1">
        <v>40198</v>
      </c>
      <c r="B21" t="s">
        <v>8</v>
      </c>
      <c r="C21" t="s">
        <v>10</v>
      </c>
      <c r="D21">
        <v>20</v>
      </c>
      <c r="E21" s="2">
        <v>4.5</v>
      </c>
      <c r="F21" s="3">
        <f>E21*D21</f>
        <v>90</v>
      </c>
    </row>
    <row r="22" spans="1:6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>E22*D22</f>
        <v>1120</v>
      </c>
    </row>
  </sheetData>
  <sortState xmlns:xlrd2="http://schemas.microsoft.com/office/spreadsheetml/2017/richdata2" ref="A2:F22">
    <sortCondition ref="B2:B22"/>
  </sortState>
  <dataValidations count="2">
    <dataValidation type="list" allowBlank="1" showInputMessage="1" showErrorMessage="1" sqref="C2:C22" xr:uid="{BD897A9D-316A-4DA9-868C-275CE5855449}">
      <formula1>$R$1:$R$3</formula1>
    </dataValidation>
    <dataValidation type="list" allowBlank="1" showInputMessage="1" showErrorMessage="1" sqref="B2:B22" xr:uid="{B0ECFCC4-B192-4338-8DB5-84362D50EE34}">
      <formula1>$Q$1:$Q$3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D6F3D-0667-4CEE-BFF2-2C02CA9F2344}">
  <sheetPr filterMode="1"/>
  <dimension ref="A1:F22"/>
  <sheetViews>
    <sheetView workbookViewId="0">
      <selection activeCell="I31" sqref="I31"/>
    </sheetView>
  </sheetViews>
  <sheetFormatPr defaultRowHeight="14.4" x14ac:dyDescent="0.3"/>
  <cols>
    <col min="1" max="1" width="11.44140625" customWidth="1"/>
    <col min="2" max="2" width="14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</row>
    <row r="3" spans="1:6" hidden="1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</row>
    <row r="4" spans="1:6" hidden="1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</row>
    <row r="5" spans="1:6" hidden="1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</row>
    <row r="6" spans="1:6" hidden="1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</row>
    <row r="7" spans="1:6" hidden="1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</row>
    <row r="8" spans="1:6" hidden="1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</row>
    <row r="9" spans="1:6" hidden="1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</row>
    <row r="10" spans="1:6" hidden="1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</row>
    <row r="11" spans="1:6" hidden="1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</row>
    <row r="12" spans="1:6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</row>
    <row r="13" spans="1:6" hidden="1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</row>
    <row r="14" spans="1:6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</row>
    <row r="15" spans="1:6" hidden="1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6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hidden="1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hidden="1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hidden="1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autoFilter ref="A1:F22" xr:uid="{344D6F3D-0667-4CEE-BFF2-2C02CA9F2344}">
    <filterColumn colId="5">
      <customFilters>
        <customFilter operator="greaterThan" val="1000"/>
      </customFilters>
    </filterColumn>
  </autoFilter>
  <dataValidations count="2">
    <dataValidation type="list" allowBlank="1" showInputMessage="1" showErrorMessage="1" sqref="C2:C22" xr:uid="{1B1ABB33-5301-4834-ADA7-BB657D68B823}">
      <formula1>$R$1:$R$3</formula1>
    </dataValidation>
    <dataValidation type="list" allowBlank="1" showInputMessage="1" showErrorMessage="1" sqref="B2:B22" xr:uid="{EEA15DA4-4757-4C00-8572-0D0B3895DFF5}">
      <formula1>$Q$1:$Q$3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6DC1-B0AD-44E9-9778-1571FB7BBDC6}">
  <sheetPr filterMode="1"/>
  <dimension ref="A1:F22"/>
  <sheetViews>
    <sheetView workbookViewId="0">
      <selection activeCell="I36" sqref="I36"/>
    </sheetView>
  </sheetViews>
  <sheetFormatPr defaultRowHeight="14.4" x14ac:dyDescent="0.3"/>
  <cols>
    <col min="1" max="1" width="13.6640625" customWidth="1"/>
    <col min="2" max="2" width="1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</row>
    <row r="3" spans="1:6" hidden="1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</row>
    <row r="4" spans="1:6" hidden="1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</row>
    <row r="5" spans="1:6" hidden="1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</row>
    <row r="6" spans="1:6" hidden="1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</row>
    <row r="7" spans="1:6" hidden="1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</row>
    <row r="8" spans="1:6" hidden="1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</row>
    <row r="9" spans="1:6" hidden="1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</row>
    <row r="10" spans="1:6" hidden="1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</row>
    <row r="11" spans="1:6" hidden="1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</row>
    <row r="12" spans="1:6" hidden="1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</row>
    <row r="13" spans="1:6" hidden="1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</row>
    <row r="14" spans="1:6" hidden="1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</row>
    <row r="15" spans="1:6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6" hidden="1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hidden="1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hidden="1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hidden="1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hidden="1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hidden="1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autoFilter ref="A1:F22" xr:uid="{0E876DC1-B0AD-44E9-9778-1571FB7BBDC6}">
    <filterColumn colId="5">
      <customFilters and="1">
        <customFilter operator="greaterThanOrEqual" val="500"/>
        <customFilter operator="lessThanOrEqual" val="1000"/>
      </customFilters>
    </filterColumn>
  </autoFilter>
  <dataValidations count="2">
    <dataValidation type="list" allowBlank="1" showInputMessage="1" showErrorMessage="1" sqref="C2:C22" xr:uid="{A3C86ED2-4D64-409E-868C-3C85ADF38411}">
      <formula1>$R$1:$R$3</formula1>
    </dataValidation>
    <dataValidation type="list" allowBlank="1" showInputMessage="1" showErrorMessage="1" sqref="B2:B22" xr:uid="{5160DEA4-05DD-4D27-A22C-CA13D8B4BF3D}">
      <formula1>$Q$1:$Q$3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523A-1D0C-4A32-A37E-9F3F2D6C8892}">
  <sheetPr filterMode="1"/>
  <dimension ref="A1:F22"/>
  <sheetViews>
    <sheetView workbookViewId="0">
      <selection activeCell="G28" sqref="G28"/>
    </sheetView>
  </sheetViews>
  <sheetFormatPr defaultRowHeight="14.4" x14ac:dyDescent="0.3"/>
  <cols>
    <col min="1" max="1" width="11.5546875" customWidth="1"/>
    <col min="2" max="2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</row>
    <row r="3" spans="1:6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</row>
    <row r="4" spans="1:6" hidden="1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</row>
    <row r="5" spans="1:6" hidden="1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</row>
    <row r="6" spans="1:6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</row>
    <row r="7" spans="1:6" hidden="1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</row>
    <row r="8" spans="1:6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</row>
    <row r="9" spans="1:6" hidden="1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</row>
    <row r="10" spans="1:6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</row>
    <row r="11" spans="1:6" hidden="1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</row>
    <row r="12" spans="1:6" hidden="1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</row>
    <row r="13" spans="1:6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</row>
    <row r="14" spans="1:6" hidden="1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</row>
    <row r="15" spans="1:6" hidden="1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6" hidden="1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hidden="1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hidden="1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hidden="1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autoFilter ref="A1:F22" xr:uid="{DE79523A-1D0C-4A32-A37E-9F3F2D6C8892}">
    <filterColumn colId="2">
      <filters>
        <filter val="Молоко"/>
      </filters>
    </filterColumn>
  </autoFilter>
  <dataValidations count="2">
    <dataValidation type="list" allowBlank="1" showInputMessage="1" showErrorMessage="1" sqref="C2:C22" xr:uid="{99630DC9-68D3-48C6-9E11-8A1FAE831C24}">
      <formula1>$R$1:$R$3</formula1>
    </dataValidation>
    <dataValidation type="list" allowBlank="1" showInputMessage="1" showErrorMessage="1" sqref="B2:B22" xr:uid="{494F3869-27E2-4A34-BDFB-DA54CC107E6C}">
      <formula1>$Q$1:$Q$3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A646-085B-4DB9-BB91-3BB40D5D4121}">
  <sheetPr filterMode="1"/>
  <dimension ref="A1:F22"/>
  <sheetViews>
    <sheetView workbookViewId="0">
      <selection activeCell="C30" sqref="C30"/>
    </sheetView>
  </sheetViews>
  <sheetFormatPr defaultRowHeight="14.4" x14ac:dyDescent="0.3"/>
  <cols>
    <col min="1" max="1" width="13.21875" customWidth="1"/>
    <col min="2" max="2" width="1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</row>
    <row r="3" spans="1:6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</row>
    <row r="4" spans="1:6" hidden="1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</row>
    <row r="5" spans="1:6" hidden="1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</row>
    <row r="6" spans="1:6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</row>
    <row r="7" spans="1:6" hidden="1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</row>
    <row r="8" spans="1:6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</row>
    <row r="9" spans="1:6" hidden="1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</row>
    <row r="10" spans="1:6" hidden="1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</row>
    <row r="11" spans="1:6" hidden="1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</row>
    <row r="12" spans="1:6" hidden="1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</row>
    <row r="13" spans="1:6" hidden="1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</row>
    <row r="14" spans="1:6" hidden="1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</row>
    <row r="15" spans="1:6" hidden="1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6" hidden="1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hidden="1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hidden="1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hidden="1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hidden="1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hidden="1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hidden="1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autoFilter ref="A1:F22" xr:uid="{7F4EA646-085B-4DB9-BB91-3BB40D5D4121}">
    <filterColumn colId="0">
      <customFilters>
        <customFilter operator="lessThan" val="40194"/>
      </customFilters>
    </filterColumn>
    <filterColumn colId="2">
      <filters>
        <filter val="Молоко"/>
      </filters>
    </filterColumn>
  </autoFilter>
  <dataValidations count="2">
    <dataValidation type="list" allowBlank="1" showInputMessage="1" showErrorMessage="1" sqref="C2:C22" xr:uid="{9C2B1059-BCB5-4A8C-80AB-D7866D0213E1}">
      <formula1>$R$1:$R$3</formula1>
    </dataValidation>
    <dataValidation type="list" allowBlank="1" showInputMessage="1" showErrorMessage="1" sqref="B2:B22" xr:uid="{88C2EA02-93B5-4399-80AE-3D6908348668}">
      <formula1>$Q$1:$Q$3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5956-F341-48ED-941F-16A0942AB95A}">
  <dimension ref="A1:F41"/>
  <sheetViews>
    <sheetView workbookViewId="0">
      <selection activeCell="I18" sqref="I18"/>
    </sheetView>
  </sheetViews>
  <sheetFormatPr defaultRowHeight="14.4" outlineLevelRow="2" x14ac:dyDescent="0.3"/>
  <cols>
    <col min="1" max="1" width="12.77734375" customWidth="1"/>
    <col min="2" max="2" width="1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outlineLevel="2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</row>
    <row r="3" spans="1:6" outlineLevel="2" x14ac:dyDescent="0.3">
      <c r="A3" s="1">
        <v>40192</v>
      </c>
      <c r="B3" t="s">
        <v>6</v>
      </c>
      <c r="C3" t="s">
        <v>10</v>
      </c>
      <c r="D3">
        <v>23</v>
      </c>
      <c r="E3" s="2">
        <v>5.2</v>
      </c>
      <c r="F3" s="3">
        <f>E3*D3</f>
        <v>119.60000000000001</v>
      </c>
    </row>
    <row r="4" spans="1:6" outlineLevel="2" x14ac:dyDescent="0.3">
      <c r="A4" s="1">
        <v>40194</v>
      </c>
      <c r="B4" t="s">
        <v>6</v>
      </c>
      <c r="C4" t="s">
        <v>10</v>
      </c>
      <c r="D4">
        <v>40</v>
      </c>
      <c r="E4" s="2">
        <v>6.2</v>
      </c>
      <c r="F4" s="3">
        <f>E4*D4</f>
        <v>248</v>
      </c>
    </row>
    <row r="5" spans="1:6" outlineLevel="2" x14ac:dyDescent="0.3">
      <c r="A5" s="1">
        <v>40194</v>
      </c>
      <c r="B5" t="s">
        <v>6</v>
      </c>
      <c r="C5" t="s">
        <v>11</v>
      </c>
      <c r="D5">
        <v>20</v>
      </c>
      <c r="E5" s="2">
        <v>18.5</v>
      </c>
      <c r="F5" s="3">
        <f>E5*D5</f>
        <v>370</v>
      </c>
    </row>
    <row r="6" spans="1:6" outlineLevel="2" x14ac:dyDescent="0.3">
      <c r="A6" s="1">
        <v>40194</v>
      </c>
      <c r="B6" t="s">
        <v>6</v>
      </c>
      <c r="C6" t="s">
        <v>11</v>
      </c>
      <c r="D6">
        <v>50</v>
      </c>
      <c r="E6" s="2">
        <v>21</v>
      </c>
      <c r="F6" s="3">
        <f>E6*D6</f>
        <v>1050</v>
      </c>
    </row>
    <row r="7" spans="1:6" outlineLevel="2" x14ac:dyDescent="0.3">
      <c r="A7" s="1">
        <v>40196</v>
      </c>
      <c r="B7" t="s">
        <v>6</v>
      </c>
      <c r="C7" t="s">
        <v>10</v>
      </c>
      <c r="D7">
        <v>10</v>
      </c>
      <c r="E7" s="2">
        <v>12</v>
      </c>
      <c r="F7" s="3">
        <f>E7*D7</f>
        <v>120</v>
      </c>
    </row>
    <row r="8" spans="1:6" outlineLevel="2" x14ac:dyDescent="0.3">
      <c r="A8" s="1">
        <v>40196</v>
      </c>
      <c r="B8" t="s">
        <v>6</v>
      </c>
      <c r="C8" t="s">
        <v>9</v>
      </c>
      <c r="D8">
        <v>50</v>
      </c>
      <c r="E8" s="2">
        <v>28.5</v>
      </c>
      <c r="F8" s="3">
        <f>E8*D8</f>
        <v>1425</v>
      </c>
    </row>
    <row r="9" spans="1:6" outlineLevel="2" x14ac:dyDescent="0.3">
      <c r="A9" s="1">
        <v>40197</v>
      </c>
      <c r="B9" t="s">
        <v>6</v>
      </c>
      <c r="C9" t="s">
        <v>11</v>
      </c>
      <c r="D9">
        <v>20</v>
      </c>
      <c r="E9" s="2">
        <v>25</v>
      </c>
      <c r="F9" s="3">
        <f>E9*D9</f>
        <v>500</v>
      </c>
    </row>
    <row r="10" spans="1:6" outlineLevel="2" x14ac:dyDescent="0.3">
      <c r="A10" s="1">
        <v>40197</v>
      </c>
      <c r="B10" t="s">
        <v>6</v>
      </c>
      <c r="C10" t="s">
        <v>11</v>
      </c>
      <c r="D10">
        <v>50</v>
      </c>
      <c r="E10" s="2">
        <v>21.5</v>
      </c>
      <c r="F10" s="3">
        <f>E10*D10</f>
        <v>1075</v>
      </c>
    </row>
    <row r="11" spans="1:6" outlineLevel="2" x14ac:dyDescent="0.3">
      <c r="A11" s="1">
        <v>40199</v>
      </c>
      <c r="B11" t="s">
        <v>6</v>
      </c>
      <c r="C11" t="s">
        <v>9</v>
      </c>
      <c r="D11">
        <v>60</v>
      </c>
      <c r="E11" s="2">
        <v>30</v>
      </c>
      <c r="F11" s="3">
        <f>E11*D11</f>
        <v>1800</v>
      </c>
    </row>
    <row r="12" spans="1:6" outlineLevel="1" x14ac:dyDescent="0.3">
      <c r="A12" s="1"/>
      <c r="B12" s="5" t="s">
        <v>12</v>
      </c>
      <c r="E12" s="2"/>
      <c r="F12" s="3">
        <f>SUBTOTAL(9,F2:F11)</f>
        <v>6857.6</v>
      </c>
    </row>
    <row r="13" spans="1:6" outlineLevel="2" x14ac:dyDescent="0.3">
      <c r="A13" s="1">
        <v>40190</v>
      </c>
      <c r="B13" t="s">
        <v>7</v>
      </c>
      <c r="C13" t="s">
        <v>10</v>
      </c>
      <c r="D13">
        <v>15</v>
      </c>
      <c r="E13" s="2">
        <v>4.8</v>
      </c>
      <c r="F13" s="3">
        <f>E13*D13</f>
        <v>72</v>
      </c>
    </row>
    <row r="14" spans="1:6" outlineLevel="2" x14ac:dyDescent="0.3">
      <c r="A14" s="1">
        <v>40191</v>
      </c>
      <c r="B14" t="s">
        <v>7</v>
      </c>
      <c r="C14" t="s">
        <v>9</v>
      </c>
      <c r="D14">
        <v>10</v>
      </c>
      <c r="E14" s="2">
        <v>20</v>
      </c>
      <c r="F14" s="3">
        <f>E14*D14</f>
        <v>200</v>
      </c>
    </row>
    <row r="15" spans="1:6" outlineLevel="2" x14ac:dyDescent="0.3">
      <c r="A15" s="1">
        <v>40193</v>
      </c>
      <c r="B15" t="s">
        <v>7</v>
      </c>
      <c r="C15" t="s">
        <v>10</v>
      </c>
      <c r="D15">
        <v>19</v>
      </c>
      <c r="E15" s="2">
        <v>4.9000000000000004</v>
      </c>
      <c r="F15" s="3">
        <f>E15*D15</f>
        <v>93.100000000000009</v>
      </c>
    </row>
    <row r="16" spans="1:6" outlineLevel="2" x14ac:dyDescent="0.3">
      <c r="A16" s="1">
        <v>40198</v>
      </c>
      <c r="B16" t="s">
        <v>7</v>
      </c>
      <c r="C16" t="s">
        <v>10</v>
      </c>
      <c r="D16">
        <v>200</v>
      </c>
      <c r="E16" s="2">
        <v>4.5</v>
      </c>
      <c r="F16" s="3">
        <f>E16*D16</f>
        <v>900</v>
      </c>
    </row>
    <row r="17" spans="1:6" outlineLevel="2" x14ac:dyDescent="0.3">
      <c r="A17" s="1">
        <v>40199</v>
      </c>
      <c r="B17" t="s">
        <v>7</v>
      </c>
      <c r="C17" t="s">
        <v>9</v>
      </c>
      <c r="D17">
        <v>50</v>
      </c>
      <c r="E17" s="2">
        <v>25.5</v>
      </c>
      <c r="F17" s="3">
        <f>E17*D17</f>
        <v>1275</v>
      </c>
    </row>
    <row r="18" spans="1:6" outlineLevel="1" x14ac:dyDescent="0.3">
      <c r="A18" s="1"/>
      <c r="B18" s="5" t="s">
        <v>13</v>
      </c>
      <c r="E18" s="2"/>
      <c r="F18" s="3">
        <f>SUBTOTAL(9,F13:F17)</f>
        <v>2540.1</v>
      </c>
    </row>
    <row r="19" spans="1:6" outlineLevel="2" x14ac:dyDescent="0.3">
      <c r="A19" s="1">
        <v>40190</v>
      </c>
      <c r="B19" t="s">
        <v>8</v>
      </c>
      <c r="C19" t="s">
        <v>11</v>
      </c>
      <c r="D19">
        <v>20</v>
      </c>
      <c r="E19" s="2">
        <v>24</v>
      </c>
      <c r="F19" s="3">
        <f>E19*D19</f>
        <v>480</v>
      </c>
    </row>
    <row r="20" spans="1:6" outlineLevel="2" x14ac:dyDescent="0.3">
      <c r="A20" s="1">
        <v>40192</v>
      </c>
      <c r="B20" t="s">
        <v>8</v>
      </c>
      <c r="C20" t="s">
        <v>11</v>
      </c>
      <c r="D20">
        <v>1</v>
      </c>
      <c r="E20" s="2">
        <v>22.5</v>
      </c>
      <c r="F20" s="3">
        <f>E20*D20</f>
        <v>22.5</v>
      </c>
    </row>
    <row r="21" spans="1:6" outlineLevel="2" x14ac:dyDescent="0.3">
      <c r="A21" s="1">
        <v>40193</v>
      </c>
      <c r="B21" t="s">
        <v>8</v>
      </c>
      <c r="C21" t="s">
        <v>11</v>
      </c>
      <c r="D21">
        <v>3</v>
      </c>
      <c r="E21" s="2">
        <v>50</v>
      </c>
      <c r="F21" s="3">
        <f>E21*D21</f>
        <v>150</v>
      </c>
    </row>
    <row r="22" spans="1:6" outlineLevel="2" x14ac:dyDescent="0.3">
      <c r="A22" s="1">
        <v>40198</v>
      </c>
      <c r="B22" t="s">
        <v>8</v>
      </c>
      <c r="C22" t="s">
        <v>10</v>
      </c>
      <c r="D22">
        <v>30</v>
      </c>
      <c r="E22" s="2">
        <v>5</v>
      </c>
      <c r="F22" s="3">
        <f>E22*D22</f>
        <v>150</v>
      </c>
    </row>
    <row r="23" spans="1:6" outlineLevel="2" x14ac:dyDescent="0.3">
      <c r="A23" s="1">
        <v>40198</v>
      </c>
      <c r="B23" t="s">
        <v>8</v>
      </c>
      <c r="C23" t="s">
        <v>10</v>
      </c>
      <c r="D23">
        <v>20</v>
      </c>
      <c r="E23" s="2">
        <v>4.5</v>
      </c>
      <c r="F23" s="3">
        <f>E23*D23</f>
        <v>90</v>
      </c>
    </row>
    <row r="24" spans="1:6" outlineLevel="2" x14ac:dyDescent="0.3">
      <c r="A24" s="1">
        <v>40199</v>
      </c>
      <c r="B24" t="s">
        <v>8</v>
      </c>
      <c r="C24" t="s">
        <v>9</v>
      </c>
      <c r="D24">
        <v>40</v>
      </c>
      <c r="E24" s="2">
        <v>28</v>
      </c>
      <c r="F24" s="3">
        <f>E24*D24</f>
        <v>1120</v>
      </c>
    </row>
    <row r="25" spans="1:6" outlineLevel="1" x14ac:dyDescent="0.3">
      <c r="A25" s="1"/>
      <c r="B25" s="5" t="s">
        <v>14</v>
      </c>
      <c r="E25" s="2"/>
      <c r="F25" s="3">
        <f>SUBTOTAL(9,F19:F24)</f>
        <v>2012.5</v>
      </c>
    </row>
    <row r="26" spans="1:6" x14ac:dyDescent="0.3">
      <c r="A26" s="1"/>
      <c r="B26" s="5" t="s">
        <v>15</v>
      </c>
      <c r="E26" s="2"/>
      <c r="F26" s="3">
        <f>SUBTOTAL(9,F2:F24)</f>
        <v>11410.2</v>
      </c>
    </row>
    <row r="27" spans="1:6" outlineLevel="2" x14ac:dyDescent="0.3">
      <c r="A27" s="1"/>
      <c r="E27" s="2"/>
      <c r="F27" s="3"/>
    </row>
    <row r="28" spans="1:6" outlineLevel="2" x14ac:dyDescent="0.3">
      <c r="A28" s="1"/>
      <c r="E28" s="2"/>
      <c r="F28" s="3"/>
    </row>
    <row r="29" spans="1:6" outlineLevel="1" x14ac:dyDescent="0.3">
      <c r="A29" s="1"/>
      <c r="B29" s="5"/>
      <c r="E29" s="2"/>
      <c r="F29" s="3"/>
    </row>
    <row r="30" spans="1:6" outlineLevel="2" x14ac:dyDescent="0.3">
      <c r="A30" s="1"/>
      <c r="E30" s="2"/>
      <c r="F30" s="3"/>
    </row>
    <row r="31" spans="1:6" outlineLevel="1" x14ac:dyDescent="0.3">
      <c r="A31" s="1"/>
      <c r="B31" s="5"/>
      <c r="E31" s="2"/>
      <c r="F31" s="3"/>
    </row>
    <row r="32" spans="1:6" outlineLevel="2" x14ac:dyDescent="0.3">
      <c r="A32" s="1"/>
      <c r="E32" s="2"/>
      <c r="F32" s="3"/>
    </row>
    <row r="33" spans="1:6" outlineLevel="2" x14ac:dyDescent="0.3">
      <c r="A33" s="1"/>
      <c r="E33" s="2"/>
      <c r="F33" s="3"/>
    </row>
    <row r="34" spans="1:6" outlineLevel="1" x14ac:dyDescent="0.3">
      <c r="A34" s="1"/>
      <c r="B34" s="5"/>
      <c r="E34" s="2"/>
      <c r="F34" s="3"/>
    </row>
    <row r="35" spans="1:6" outlineLevel="2" x14ac:dyDescent="0.3">
      <c r="A35" s="1"/>
      <c r="E35" s="2"/>
      <c r="F35" s="3"/>
    </row>
    <row r="36" spans="1:6" outlineLevel="1" x14ac:dyDescent="0.3">
      <c r="A36" s="1"/>
      <c r="B36" s="5"/>
      <c r="E36" s="2"/>
      <c r="F36" s="3"/>
    </row>
    <row r="37" spans="1:6" outlineLevel="2" x14ac:dyDescent="0.3">
      <c r="A37" s="1"/>
      <c r="E37" s="2"/>
      <c r="F37" s="3"/>
    </row>
    <row r="38" spans="1:6" outlineLevel="1" x14ac:dyDescent="0.3">
      <c r="A38" s="1"/>
      <c r="B38" s="5"/>
      <c r="E38" s="2"/>
      <c r="F38" s="3"/>
    </row>
    <row r="39" spans="1:6" outlineLevel="2" x14ac:dyDescent="0.3">
      <c r="A39" s="1"/>
      <c r="E39" s="2"/>
      <c r="F39" s="3"/>
    </row>
    <row r="40" spans="1:6" outlineLevel="1" x14ac:dyDescent="0.3">
      <c r="A40" s="1"/>
      <c r="B40" s="5"/>
      <c r="E40" s="2"/>
      <c r="F40" s="3"/>
    </row>
    <row r="41" spans="1:6" x14ac:dyDescent="0.3">
      <c r="A41" s="1"/>
      <c r="B41" s="5"/>
      <c r="E41" s="2"/>
      <c r="F41" s="3"/>
    </row>
  </sheetData>
  <sortState xmlns:xlrd2="http://schemas.microsoft.com/office/spreadsheetml/2017/richdata2" ref="A2:F19">
    <sortCondition ref="B2:B24"/>
  </sortState>
  <dataValidations count="4">
    <dataValidation type="list" allowBlank="1" showInputMessage="1" showErrorMessage="1" sqref="C37 C27:C28 C39 C30 C32:C33 C35" xr:uid="{70FA8ECA-72B7-4FAF-91C7-5DD320F11ACA}">
      <formula1>$R$1:$R$4</formula1>
    </dataValidation>
    <dataValidation type="list" allowBlank="1" showInputMessage="1" showErrorMessage="1" sqref="B37 B27:B28 B39 B30 B32:B33 B35" xr:uid="{35C57914-1375-4E2B-B7D6-93778E563E39}">
      <formula1>$Q$1:$Q$4</formula1>
    </dataValidation>
    <dataValidation type="list" allowBlank="1" showInputMessage="1" showErrorMessage="1" sqref="C2:C11 C13:C17 C19:C24" xr:uid="{5BBFF03C-881B-42AC-8386-8B7CBC8C13A9}">
      <formula1>$R$1:$R$3</formula1>
    </dataValidation>
    <dataValidation type="list" allowBlank="1" showInputMessage="1" showErrorMessage="1" sqref="B2:B11 B13:B17 B19:B24" xr:uid="{2CD2CA38-9BB8-4656-9E39-6D53ED4A0591}">
      <formula1>$Q$1:$Q$3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1FA9-D499-47EF-A80D-4E427F8681A3}">
  <dimension ref="A1:F34"/>
  <sheetViews>
    <sheetView workbookViewId="0">
      <selection activeCell="I31" sqref="I31"/>
    </sheetView>
  </sheetViews>
  <sheetFormatPr defaultRowHeight="14.4" outlineLevelRow="3" x14ac:dyDescent="0.3"/>
  <cols>
    <col min="1" max="1" width="12" customWidth="1"/>
    <col min="2" max="2" width="15.109375" customWidth="1"/>
    <col min="3" max="3" width="13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outlineLevel="3" x14ac:dyDescent="0.3">
      <c r="A2" s="1">
        <v>40192</v>
      </c>
      <c r="B2" t="s">
        <v>6</v>
      </c>
      <c r="C2" t="s">
        <v>10</v>
      </c>
      <c r="D2">
        <v>23</v>
      </c>
      <c r="E2" s="2">
        <v>5.2</v>
      </c>
      <c r="F2" s="3">
        <f>E2*D2</f>
        <v>119.60000000000001</v>
      </c>
    </row>
    <row r="3" spans="1:6" outlineLevel="3" x14ac:dyDescent="0.3">
      <c r="A3" s="1">
        <v>40194</v>
      </c>
      <c r="B3" t="s">
        <v>6</v>
      </c>
      <c r="C3" t="s">
        <v>10</v>
      </c>
      <c r="D3">
        <v>40</v>
      </c>
      <c r="E3" s="2">
        <v>6.2</v>
      </c>
      <c r="F3" s="3">
        <f>E3*D3</f>
        <v>248</v>
      </c>
    </row>
    <row r="4" spans="1:6" outlineLevel="3" x14ac:dyDescent="0.3">
      <c r="A4" s="1">
        <v>40196</v>
      </c>
      <c r="B4" t="s">
        <v>6</v>
      </c>
      <c r="C4" t="s">
        <v>10</v>
      </c>
      <c r="D4">
        <v>10</v>
      </c>
      <c r="E4" s="2">
        <v>12</v>
      </c>
      <c r="F4" s="3">
        <f>E4*D4</f>
        <v>120</v>
      </c>
    </row>
    <row r="5" spans="1:6" outlineLevel="2" x14ac:dyDescent="0.3">
      <c r="A5" s="1"/>
      <c r="C5" s="5" t="s">
        <v>16</v>
      </c>
      <c r="E5" s="2"/>
      <c r="F5" s="3">
        <f>SUBTOTAL(9,F2:F4)</f>
        <v>487.6</v>
      </c>
    </row>
    <row r="6" spans="1:6" outlineLevel="3" x14ac:dyDescent="0.3">
      <c r="A6" s="1">
        <v>40194</v>
      </c>
      <c r="B6" t="s">
        <v>6</v>
      </c>
      <c r="C6" t="s">
        <v>11</v>
      </c>
      <c r="D6">
        <v>20</v>
      </c>
      <c r="E6" s="2">
        <v>18.5</v>
      </c>
      <c r="F6" s="3">
        <f>E6*D6</f>
        <v>370</v>
      </c>
    </row>
    <row r="7" spans="1:6" outlineLevel="3" x14ac:dyDescent="0.3">
      <c r="A7" s="1">
        <v>40194</v>
      </c>
      <c r="B7" t="s">
        <v>6</v>
      </c>
      <c r="C7" t="s">
        <v>11</v>
      </c>
      <c r="D7">
        <v>50</v>
      </c>
      <c r="E7" s="2">
        <v>21</v>
      </c>
      <c r="F7" s="3">
        <f>E7*D7</f>
        <v>1050</v>
      </c>
    </row>
    <row r="8" spans="1:6" outlineLevel="3" x14ac:dyDescent="0.3">
      <c r="A8" s="1">
        <v>40197</v>
      </c>
      <c r="B8" t="s">
        <v>6</v>
      </c>
      <c r="C8" t="s">
        <v>11</v>
      </c>
      <c r="D8">
        <v>20</v>
      </c>
      <c r="E8" s="2">
        <v>25</v>
      </c>
      <c r="F8" s="3">
        <f>E8*D8</f>
        <v>500</v>
      </c>
    </row>
    <row r="9" spans="1:6" outlineLevel="3" x14ac:dyDescent="0.3">
      <c r="A9" s="1">
        <v>40197</v>
      </c>
      <c r="B9" t="s">
        <v>6</v>
      </c>
      <c r="C9" t="s">
        <v>11</v>
      </c>
      <c r="D9">
        <v>50</v>
      </c>
      <c r="E9" s="2">
        <v>21.5</v>
      </c>
      <c r="F9" s="3">
        <f>E9*D9</f>
        <v>1075</v>
      </c>
    </row>
    <row r="10" spans="1:6" outlineLevel="2" x14ac:dyDescent="0.3">
      <c r="A10" s="1"/>
      <c r="C10" s="5" t="s">
        <v>17</v>
      </c>
      <c r="E10" s="2"/>
      <c r="F10" s="3">
        <f>SUBTOTAL(9,F6:F9)</f>
        <v>2995</v>
      </c>
    </row>
    <row r="11" spans="1:6" outlineLevel="3" x14ac:dyDescent="0.3">
      <c r="A11" s="1">
        <v>40190</v>
      </c>
      <c r="B11" t="s">
        <v>6</v>
      </c>
      <c r="C11" t="s">
        <v>9</v>
      </c>
      <c r="D11">
        <v>10</v>
      </c>
      <c r="E11" s="2">
        <v>15</v>
      </c>
      <c r="F11" s="3">
        <f>E11*D11</f>
        <v>150</v>
      </c>
    </row>
    <row r="12" spans="1:6" outlineLevel="3" x14ac:dyDescent="0.3">
      <c r="A12" s="1">
        <v>40196</v>
      </c>
      <c r="B12" t="s">
        <v>6</v>
      </c>
      <c r="C12" t="s">
        <v>9</v>
      </c>
      <c r="D12">
        <v>50</v>
      </c>
      <c r="E12" s="2">
        <v>28.5</v>
      </c>
      <c r="F12" s="3">
        <f>E12*D12</f>
        <v>1425</v>
      </c>
    </row>
    <row r="13" spans="1:6" outlineLevel="3" x14ac:dyDescent="0.3">
      <c r="A13" s="1">
        <v>40199</v>
      </c>
      <c r="B13" t="s">
        <v>6</v>
      </c>
      <c r="C13" t="s">
        <v>9</v>
      </c>
      <c r="D13">
        <v>60</v>
      </c>
      <c r="E13" s="2">
        <v>30</v>
      </c>
      <c r="F13" s="3">
        <f>E13*D13</f>
        <v>1800</v>
      </c>
    </row>
    <row r="14" spans="1:6" outlineLevel="2" x14ac:dyDescent="0.3">
      <c r="A14" s="1"/>
      <c r="C14" s="5" t="s">
        <v>18</v>
      </c>
      <c r="E14" s="2"/>
      <c r="F14" s="3">
        <f>SUBTOTAL(9,F11:F13)</f>
        <v>3375</v>
      </c>
    </row>
    <row r="15" spans="1:6" outlineLevel="1" x14ac:dyDescent="0.3">
      <c r="A15" s="1"/>
      <c r="B15" s="5" t="s">
        <v>12</v>
      </c>
      <c r="E15" s="2"/>
      <c r="F15" s="3">
        <f>SUBTOTAL(9,F2:F13)</f>
        <v>6857.6</v>
      </c>
    </row>
    <row r="16" spans="1:6" outlineLevel="3" x14ac:dyDescent="0.3">
      <c r="A16" s="1">
        <v>40190</v>
      </c>
      <c r="B16" t="s">
        <v>7</v>
      </c>
      <c r="C16" t="s">
        <v>10</v>
      </c>
      <c r="D16">
        <v>15</v>
      </c>
      <c r="E16" s="2">
        <v>4.8</v>
      </c>
      <c r="F16" s="3">
        <f>E16*D16</f>
        <v>72</v>
      </c>
    </row>
    <row r="17" spans="1:6" outlineLevel="3" x14ac:dyDescent="0.3">
      <c r="A17" s="1">
        <v>40193</v>
      </c>
      <c r="B17" t="s">
        <v>7</v>
      </c>
      <c r="C17" t="s">
        <v>10</v>
      </c>
      <c r="D17">
        <v>19</v>
      </c>
      <c r="E17" s="2">
        <v>4.9000000000000004</v>
      </c>
      <c r="F17" s="3">
        <f>E17*D17</f>
        <v>93.100000000000009</v>
      </c>
    </row>
    <row r="18" spans="1:6" outlineLevel="3" x14ac:dyDescent="0.3">
      <c r="A18" s="1">
        <v>40198</v>
      </c>
      <c r="B18" t="s">
        <v>7</v>
      </c>
      <c r="C18" t="s">
        <v>10</v>
      </c>
      <c r="D18">
        <v>200</v>
      </c>
      <c r="E18" s="2">
        <v>4.5</v>
      </c>
      <c r="F18" s="3">
        <f>E18*D18</f>
        <v>900</v>
      </c>
    </row>
    <row r="19" spans="1:6" outlineLevel="2" x14ac:dyDescent="0.3">
      <c r="A19" s="1"/>
      <c r="C19" s="5" t="s">
        <v>16</v>
      </c>
      <c r="E19" s="2"/>
      <c r="F19" s="3">
        <f>SUBTOTAL(9,F16:F18)</f>
        <v>1065.0999999999999</v>
      </c>
    </row>
    <row r="20" spans="1:6" outlineLevel="3" x14ac:dyDescent="0.3">
      <c r="A20" s="1">
        <v>40191</v>
      </c>
      <c r="B20" t="s">
        <v>7</v>
      </c>
      <c r="C20" t="s">
        <v>9</v>
      </c>
      <c r="D20">
        <v>10</v>
      </c>
      <c r="E20" s="2">
        <v>20</v>
      </c>
      <c r="F20" s="3">
        <f>E20*D20</f>
        <v>200</v>
      </c>
    </row>
    <row r="21" spans="1:6" outlineLevel="3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>E21*D21</f>
        <v>1275</v>
      </c>
    </row>
    <row r="22" spans="1:6" outlineLevel="2" x14ac:dyDescent="0.3">
      <c r="A22" s="1"/>
      <c r="C22" s="5" t="s">
        <v>18</v>
      </c>
      <c r="E22" s="2"/>
      <c r="F22" s="3">
        <f>SUBTOTAL(9,F20:F21)</f>
        <v>1475</v>
      </c>
    </row>
    <row r="23" spans="1:6" outlineLevel="1" x14ac:dyDescent="0.3">
      <c r="A23" s="1"/>
      <c r="B23" s="5" t="s">
        <v>13</v>
      </c>
      <c r="E23" s="2"/>
      <c r="F23" s="3">
        <f>SUBTOTAL(9,F16:F21)</f>
        <v>2540.1</v>
      </c>
    </row>
    <row r="24" spans="1:6" outlineLevel="3" x14ac:dyDescent="0.3">
      <c r="A24" s="1">
        <v>40198</v>
      </c>
      <c r="B24" t="s">
        <v>8</v>
      </c>
      <c r="C24" t="s">
        <v>10</v>
      </c>
      <c r="D24">
        <v>30</v>
      </c>
      <c r="E24" s="2">
        <v>5</v>
      </c>
      <c r="F24" s="3">
        <f>E24*D24</f>
        <v>150</v>
      </c>
    </row>
    <row r="25" spans="1:6" outlineLevel="3" x14ac:dyDescent="0.3">
      <c r="A25" s="1">
        <v>40198</v>
      </c>
      <c r="B25" t="s">
        <v>8</v>
      </c>
      <c r="C25" t="s">
        <v>10</v>
      </c>
      <c r="D25">
        <v>20</v>
      </c>
      <c r="E25" s="2">
        <v>4.5</v>
      </c>
      <c r="F25" s="3">
        <f>E25*D25</f>
        <v>90</v>
      </c>
    </row>
    <row r="26" spans="1:6" outlineLevel="2" x14ac:dyDescent="0.3">
      <c r="A26" s="1"/>
      <c r="C26" s="5" t="s">
        <v>16</v>
      </c>
      <c r="E26" s="2"/>
      <c r="F26" s="3">
        <f>SUBTOTAL(9,F24:F25)</f>
        <v>240</v>
      </c>
    </row>
    <row r="27" spans="1:6" outlineLevel="3" x14ac:dyDescent="0.3">
      <c r="A27" s="1">
        <v>40190</v>
      </c>
      <c r="B27" t="s">
        <v>8</v>
      </c>
      <c r="C27" t="s">
        <v>11</v>
      </c>
      <c r="D27">
        <v>20</v>
      </c>
      <c r="E27" s="2">
        <v>24</v>
      </c>
      <c r="F27" s="3">
        <f>E27*D27</f>
        <v>480</v>
      </c>
    </row>
    <row r="28" spans="1:6" outlineLevel="3" x14ac:dyDescent="0.3">
      <c r="A28" s="1">
        <v>40192</v>
      </c>
      <c r="B28" t="s">
        <v>8</v>
      </c>
      <c r="C28" t="s">
        <v>11</v>
      </c>
      <c r="D28">
        <v>1</v>
      </c>
      <c r="E28" s="2">
        <v>22.5</v>
      </c>
      <c r="F28" s="3">
        <f>E28*D28</f>
        <v>22.5</v>
      </c>
    </row>
    <row r="29" spans="1:6" outlineLevel="3" x14ac:dyDescent="0.3">
      <c r="A29" s="1">
        <v>40193</v>
      </c>
      <c r="B29" t="s">
        <v>8</v>
      </c>
      <c r="C29" t="s">
        <v>11</v>
      </c>
      <c r="D29">
        <v>3</v>
      </c>
      <c r="E29" s="2">
        <v>50</v>
      </c>
      <c r="F29" s="3">
        <f>E29*D29</f>
        <v>150</v>
      </c>
    </row>
    <row r="30" spans="1:6" outlineLevel="2" x14ac:dyDescent="0.3">
      <c r="A30" s="1"/>
      <c r="C30" s="5" t="s">
        <v>17</v>
      </c>
      <c r="E30" s="2"/>
      <c r="F30" s="3">
        <f>SUBTOTAL(9,F27:F29)</f>
        <v>652.5</v>
      </c>
    </row>
    <row r="31" spans="1:6" outlineLevel="3" x14ac:dyDescent="0.3">
      <c r="A31" s="1">
        <v>40199</v>
      </c>
      <c r="B31" t="s">
        <v>8</v>
      </c>
      <c r="C31" t="s">
        <v>9</v>
      </c>
      <c r="D31">
        <v>40</v>
      </c>
      <c r="E31" s="2">
        <v>28</v>
      </c>
      <c r="F31" s="3">
        <f>E31*D31</f>
        <v>1120</v>
      </c>
    </row>
    <row r="32" spans="1:6" outlineLevel="2" x14ac:dyDescent="0.3">
      <c r="A32" s="1"/>
      <c r="C32" s="5" t="s">
        <v>18</v>
      </c>
      <c r="E32" s="2"/>
      <c r="F32" s="3">
        <f>SUBTOTAL(9,F31:F31)</f>
        <v>1120</v>
      </c>
    </row>
    <row r="33" spans="1:6" outlineLevel="1" x14ac:dyDescent="0.3">
      <c r="A33" s="1"/>
      <c r="B33" s="5" t="s">
        <v>14</v>
      </c>
      <c r="E33" s="2"/>
      <c r="F33" s="3">
        <f>SUBTOTAL(9,F24:F31)</f>
        <v>2012.5</v>
      </c>
    </row>
    <row r="34" spans="1:6" x14ac:dyDescent="0.3">
      <c r="A34" s="1"/>
      <c r="B34" s="5" t="s">
        <v>15</v>
      </c>
      <c r="E34" s="2"/>
      <c r="F34" s="3">
        <f>SUBTOTAL(9,F2:F31)</f>
        <v>11410.2</v>
      </c>
    </row>
  </sheetData>
  <sortState xmlns:xlrd2="http://schemas.microsoft.com/office/spreadsheetml/2017/richdata2" ref="A2:F31">
    <sortCondition ref="B2:B31"/>
    <sortCondition ref="C2:C31"/>
  </sortState>
  <dataValidations count="2">
    <dataValidation type="list" allowBlank="1" showInputMessage="1" showErrorMessage="1" sqref="C20:C21 C11:C13 C2:C4 C6:C9 C16:C18 C24:C25 C27:C29 C31" xr:uid="{0F8DD4B4-216B-4D2D-9225-9CFD418F501F}">
      <formula1>$R$1:$R$3</formula1>
    </dataValidation>
    <dataValidation type="list" allowBlank="1" showInputMessage="1" showErrorMessage="1" sqref="B20:B21 B11:B13 B2:B4 B6:B9 B16:B18 B24:B25 B27:B29 B31" xr:uid="{E3B25E39-5682-4D63-BFC9-597EB31E2350}">
      <formula1>$Q$1:$Q$3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59EC-BA73-4E9D-96D1-A56B8E14C3CE}">
  <dimension ref="A1:S22"/>
  <sheetViews>
    <sheetView topLeftCell="E1" workbookViewId="0">
      <selection activeCell="L24" sqref="L24"/>
    </sheetView>
  </sheetViews>
  <sheetFormatPr defaultRowHeight="14.4" x14ac:dyDescent="0.3"/>
  <cols>
    <col min="1" max="1" width="11.109375" customWidth="1"/>
    <col min="2" max="2" width="13.44140625" customWidth="1"/>
    <col min="9" max="9" width="24" bestFit="1" customWidth="1"/>
    <col min="10" max="10" width="20.33203125" bestFit="1" customWidth="1"/>
    <col min="11" max="18" width="10.109375" bestFit="1" customWidth="1"/>
    <col min="19" max="19" width="11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6" t="s">
        <v>19</v>
      </c>
      <c r="J1" s="6" t="s">
        <v>21</v>
      </c>
    </row>
    <row r="2" spans="1:19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  <c r="I2" s="6" t="s">
        <v>20</v>
      </c>
      <c r="J2" s="1">
        <v>40190</v>
      </c>
      <c r="K2" s="1">
        <v>40191</v>
      </c>
      <c r="L2" s="1">
        <v>40192</v>
      </c>
      <c r="M2" s="1">
        <v>40193</v>
      </c>
      <c r="N2" s="1">
        <v>40194</v>
      </c>
      <c r="O2" s="1">
        <v>40196</v>
      </c>
      <c r="P2" s="1">
        <v>40197</v>
      </c>
      <c r="Q2" s="1">
        <v>40198</v>
      </c>
      <c r="R2" s="1">
        <v>40199</v>
      </c>
      <c r="S2" s="1" t="s">
        <v>15</v>
      </c>
    </row>
    <row r="3" spans="1:19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  <c r="I3" s="7" t="s">
        <v>6</v>
      </c>
      <c r="J3" s="4">
        <v>150</v>
      </c>
      <c r="K3" s="4"/>
      <c r="L3" s="4">
        <v>119.60000000000001</v>
      </c>
      <c r="M3" s="4"/>
      <c r="N3" s="4">
        <v>1668</v>
      </c>
      <c r="O3" s="4">
        <v>1545</v>
      </c>
      <c r="P3" s="4">
        <v>1575</v>
      </c>
      <c r="Q3" s="4"/>
      <c r="R3" s="4">
        <v>1800</v>
      </c>
      <c r="S3" s="4">
        <v>6857.6</v>
      </c>
    </row>
    <row r="4" spans="1:19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  <c r="I4" s="8" t="s">
        <v>10</v>
      </c>
      <c r="J4" s="4"/>
      <c r="K4" s="4"/>
      <c r="L4" s="4">
        <v>119.60000000000001</v>
      </c>
      <c r="M4" s="4"/>
      <c r="N4" s="4">
        <v>248</v>
      </c>
      <c r="O4" s="4">
        <v>120</v>
      </c>
      <c r="P4" s="4"/>
      <c r="Q4" s="4"/>
      <c r="R4" s="4"/>
      <c r="S4" s="4">
        <v>487.6</v>
      </c>
    </row>
    <row r="5" spans="1:19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  <c r="I5" s="8" t="s">
        <v>11</v>
      </c>
      <c r="J5" s="4"/>
      <c r="K5" s="4"/>
      <c r="L5" s="4"/>
      <c r="M5" s="4"/>
      <c r="N5" s="4">
        <v>1420</v>
      </c>
      <c r="O5" s="4"/>
      <c r="P5" s="4">
        <v>1575</v>
      </c>
      <c r="Q5" s="4"/>
      <c r="R5" s="4"/>
      <c r="S5" s="4">
        <v>2995</v>
      </c>
    </row>
    <row r="6" spans="1:19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  <c r="I6" s="8" t="s">
        <v>9</v>
      </c>
      <c r="J6" s="4">
        <v>150</v>
      </c>
      <c r="K6" s="4"/>
      <c r="L6" s="4"/>
      <c r="M6" s="4"/>
      <c r="N6" s="4"/>
      <c r="O6" s="4">
        <v>1425</v>
      </c>
      <c r="P6" s="4"/>
      <c r="Q6" s="4"/>
      <c r="R6" s="4">
        <v>1800</v>
      </c>
      <c r="S6" s="4">
        <v>3375</v>
      </c>
    </row>
    <row r="7" spans="1:19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  <c r="I7" s="7" t="s">
        <v>7</v>
      </c>
      <c r="J7" s="4">
        <v>72</v>
      </c>
      <c r="K7" s="4">
        <v>200</v>
      </c>
      <c r="L7" s="4"/>
      <c r="M7" s="4">
        <v>93.100000000000009</v>
      </c>
      <c r="N7" s="4"/>
      <c r="O7" s="4"/>
      <c r="P7" s="4"/>
      <c r="Q7" s="4">
        <v>900</v>
      </c>
      <c r="R7" s="4">
        <v>1275</v>
      </c>
      <c r="S7" s="4">
        <v>2540.1</v>
      </c>
    </row>
    <row r="8" spans="1:19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  <c r="I8" s="8" t="s">
        <v>10</v>
      </c>
      <c r="J8" s="4">
        <v>72</v>
      </c>
      <c r="K8" s="4"/>
      <c r="L8" s="4"/>
      <c r="M8" s="4">
        <v>93.100000000000009</v>
      </c>
      <c r="N8" s="4"/>
      <c r="O8" s="4"/>
      <c r="P8" s="4"/>
      <c r="Q8" s="4">
        <v>900</v>
      </c>
      <c r="R8" s="4"/>
      <c r="S8" s="4">
        <v>1065.0999999999999</v>
      </c>
    </row>
    <row r="9" spans="1:19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  <c r="I9" s="8" t="s">
        <v>9</v>
      </c>
      <c r="J9" s="4"/>
      <c r="K9" s="4">
        <v>200</v>
      </c>
      <c r="L9" s="4"/>
      <c r="M9" s="4"/>
      <c r="N9" s="4"/>
      <c r="O9" s="4"/>
      <c r="P9" s="4"/>
      <c r="Q9" s="4"/>
      <c r="R9" s="4">
        <v>1275</v>
      </c>
      <c r="S9" s="4">
        <v>1475</v>
      </c>
    </row>
    <row r="10" spans="1:19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  <c r="I10" s="7" t="s">
        <v>8</v>
      </c>
      <c r="J10" s="4">
        <v>480</v>
      </c>
      <c r="K10" s="4"/>
      <c r="L10" s="4">
        <v>22.5</v>
      </c>
      <c r="M10" s="4">
        <v>150</v>
      </c>
      <c r="N10" s="4"/>
      <c r="O10" s="4"/>
      <c r="P10" s="4"/>
      <c r="Q10" s="4">
        <v>240</v>
      </c>
      <c r="R10" s="4">
        <v>1120</v>
      </c>
      <c r="S10" s="4">
        <v>2012.5</v>
      </c>
    </row>
    <row r="11" spans="1:19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  <c r="I11" s="8" t="s">
        <v>10</v>
      </c>
      <c r="J11" s="4"/>
      <c r="K11" s="4"/>
      <c r="L11" s="4"/>
      <c r="M11" s="4"/>
      <c r="N11" s="4"/>
      <c r="O11" s="4"/>
      <c r="P11" s="4"/>
      <c r="Q11" s="4">
        <v>240</v>
      </c>
      <c r="R11" s="4"/>
      <c r="S11" s="4">
        <v>240</v>
      </c>
    </row>
    <row r="12" spans="1:19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  <c r="I12" s="8" t="s">
        <v>11</v>
      </c>
      <c r="J12" s="4">
        <v>480</v>
      </c>
      <c r="K12" s="4"/>
      <c r="L12" s="4">
        <v>22.5</v>
      </c>
      <c r="M12" s="4">
        <v>150</v>
      </c>
      <c r="N12" s="4"/>
      <c r="O12" s="4"/>
      <c r="P12" s="4"/>
      <c r="Q12" s="4"/>
      <c r="R12" s="4"/>
      <c r="S12" s="4">
        <v>652.5</v>
      </c>
    </row>
    <row r="13" spans="1:19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  <c r="I13" s="8" t="s">
        <v>9</v>
      </c>
      <c r="J13" s="4"/>
      <c r="K13" s="4"/>
      <c r="L13" s="4"/>
      <c r="M13" s="4"/>
      <c r="N13" s="4"/>
      <c r="O13" s="4"/>
      <c r="P13" s="4"/>
      <c r="Q13" s="4"/>
      <c r="R13" s="4">
        <v>1120</v>
      </c>
      <c r="S13" s="4">
        <v>1120</v>
      </c>
    </row>
    <row r="14" spans="1:19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  <c r="I14" s="7" t="s">
        <v>15</v>
      </c>
      <c r="J14" s="4">
        <v>702</v>
      </c>
      <c r="K14" s="4">
        <v>200</v>
      </c>
      <c r="L14" s="4">
        <v>142.10000000000002</v>
      </c>
      <c r="M14" s="4">
        <v>243.10000000000002</v>
      </c>
      <c r="N14" s="4">
        <v>1668</v>
      </c>
      <c r="O14" s="4">
        <v>1545</v>
      </c>
      <c r="P14" s="4">
        <v>1575</v>
      </c>
      <c r="Q14" s="4">
        <v>1140</v>
      </c>
      <c r="R14" s="4">
        <v>4195</v>
      </c>
      <c r="S14" s="4">
        <v>11410.2</v>
      </c>
    </row>
    <row r="15" spans="1:19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19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dataValidations count="2">
    <dataValidation type="list" allowBlank="1" showInputMessage="1" showErrorMessage="1" sqref="C2:C22" xr:uid="{E7569726-48A9-4CE9-93DE-0582F7271D05}">
      <formula1>$R$1:$R$3</formula1>
    </dataValidation>
    <dataValidation type="list" allowBlank="1" showInputMessage="1" showErrorMessage="1" sqref="B2:B22" xr:uid="{93FA8979-D0C1-4F9C-B5D2-1E0C384A9476}">
      <formula1>$Q$1:$Q$3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5C47-0F3B-49FC-9E1C-294EF603D805}">
  <dimension ref="A1:S22"/>
  <sheetViews>
    <sheetView topLeftCell="E1" workbookViewId="0">
      <selection activeCell="S3" sqref="S3"/>
    </sheetView>
  </sheetViews>
  <sheetFormatPr defaultRowHeight="14.4" x14ac:dyDescent="0.3"/>
  <cols>
    <col min="1" max="1" width="12.21875" customWidth="1"/>
    <col min="2" max="2" width="14.21875" customWidth="1"/>
    <col min="9" max="9" width="25.5546875" bestFit="1" customWidth="1"/>
    <col min="10" max="10" width="20.33203125" bestFit="1" customWidth="1"/>
    <col min="11" max="17" width="10.109375" bestFit="1" customWidth="1"/>
    <col min="18" max="19" width="12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6" t="s">
        <v>22</v>
      </c>
      <c r="J1" s="6" t="s">
        <v>21</v>
      </c>
    </row>
    <row r="2" spans="1:19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  <c r="I2" s="6" t="s">
        <v>20</v>
      </c>
      <c r="J2" s="1">
        <v>40190</v>
      </c>
      <c r="K2" s="1">
        <v>40191</v>
      </c>
      <c r="L2" s="1">
        <v>40192</v>
      </c>
      <c r="M2" s="1">
        <v>40193</v>
      </c>
      <c r="N2" s="1">
        <v>40194</v>
      </c>
      <c r="O2" s="1">
        <v>40196</v>
      </c>
      <c r="P2" s="1">
        <v>40197</v>
      </c>
      <c r="Q2" s="1">
        <v>40198</v>
      </c>
      <c r="R2" s="1">
        <v>40199</v>
      </c>
      <c r="S2" s="1" t="s">
        <v>15</v>
      </c>
    </row>
    <row r="3" spans="1:19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  <c r="I3" s="7" t="s">
        <v>6</v>
      </c>
      <c r="J3" s="4">
        <v>150</v>
      </c>
      <c r="K3" s="4"/>
      <c r="L3" s="4">
        <v>119.60000000000001</v>
      </c>
      <c r="M3" s="4"/>
      <c r="N3" s="4">
        <v>556</v>
      </c>
      <c r="O3" s="4">
        <v>772.5</v>
      </c>
      <c r="P3" s="4">
        <v>787.5</v>
      </c>
      <c r="Q3" s="4"/>
      <c r="R3" s="4">
        <v>1800</v>
      </c>
      <c r="S3" s="4">
        <v>685.76</v>
      </c>
    </row>
    <row r="4" spans="1:19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  <c r="I4" s="8" t="s">
        <v>10</v>
      </c>
      <c r="J4" s="4"/>
      <c r="K4" s="4"/>
      <c r="L4" s="4">
        <v>119.60000000000001</v>
      </c>
      <c r="M4" s="4"/>
      <c r="N4" s="4">
        <v>248</v>
      </c>
      <c r="O4" s="4">
        <v>120</v>
      </c>
      <c r="P4" s="4"/>
      <c r="Q4" s="4"/>
      <c r="R4" s="4"/>
      <c r="S4" s="4">
        <v>162.53333333333333</v>
      </c>
    </row>
    <row r="5" spans="1:19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  <c r="I5" s="8" t="s">
        <v>11</v>
      </c>
      <c r="J5" s="4"/>
      <c r="K5" s="4"/>
      <c r="L5" s="4"/>
      <c r="M5" s="4"/>
      <c r="N5" s="4">
        <v>710</v>
      </c>
      <c r="O5" s="4"/>
      <c r="P5" s="4">
        <v>787.5</v>
      </c>
      <c r="Q5" s="4"/>
      <c r="R5" s="4"/>
      <c r="S5" s="4">
        <v>748.75</v>
      </c>
    </row>
    <row r="6" spans="1:19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  <c r="I6" s="8" t="s">
        <v>9</v>
      </c>
      <c r="J6" s="4">
        <v>150</v>
      </c>
      <c r="K6" s="4"/>
      <c r="L6" s="4"/>
      <c r="M6" s="4"/>
      <c r="N6" s="4"/>
      <c r="O6" s="4">
        <v>1425</v>
      </c>
      <c r="P6" s="4"/>
      <c r="Q6" s="4"/>
      <c r="R6" s="4">
        <v>1800</v>
      </c>
      <c r="S6" s="4">
        <v>1125</v>
      </c>
    </row>
    <row r="7" spans="1:19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  <c r="I7" s="7" t="s">
        <v>7</v>
      </c>
      <c r="J7" s="4">
        <v>72</v>
      </c>
      <c r="K7" s="4">
        <v>200</v>
      </c>
      <c r="L7" s="4"/>
      <c r="M7" s="4">
        <v>93.100000000000009</v>
      </c>
      <c r="N7" s="4"/>
      <c r="O7" s="4"/>
      <c r="P7" s="4"/>
      <c r="Q7" s="4">
        <v>900</v>
      </c>
      <c r="R7" s="4">
        <v>1275</v>
      </c>
      <c r="S7" s="4">
        <v>508.02</v>
      </c>
    </row>
    <row r="8" spans="1:19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  <c r="I8" s="8" t="s">
        <v>10</v>
      </c>
      <c r="J8" s="4">
        <v>72</v>
      </c>
      <c r="K8" s="4"/>
      <c r="L8" s="4"/>
      <c r="M8" s="4">
        <v>93.100000000000009</v>
      </c>
      <c r="N8" s="4"/>
      <c r="O8" s="4"/>
      <c r="P8" s="4"/>
      <c r="Q8" s="4">
        <v>900</v>
      </c>
      <c r="R8" s="4"/>
      <c r="S8" s="4">
        <v>355.0333333333333</v>
      </c>
    </row>
    <row r="9" spans="1:19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  <c r="I9" s="8" t="s">
        <v>9</v>
      </c>
      <c r="J9" s="4"/>
      <c r="K9" s="4">
        <v>200</v>
      </c>
      <c r="L9" s="4"/>
      <c r="M9" s="4"/>
      <c r="N9" s="4"/>
      <c r="O9" s="4"/>
      <c r="P9" s="4"/>
      <c r="Q9" s="4"/>
      <c r="R9" s="4">
        <v>1275</v>
      </c>
      <c r="S9" s="4">
        <v>737.5</v>
      </c>
    </row>
    <row r="10" spans="1:19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  <c r="I10" s="7" t="s">
        <v>8</v>
      </c>
      <c r="J10" s="4">
        <v>480</v>
      </c>
      <c r="K10" s="4"/>
      <c r="L10" s="4">
        <v>22.5</v>
      </c>
      <c r="M10" s="4">
        <v>150</v>
      </c>
      <c r="N10" s="4"/>
      <c r="O10" s="4"/>
      <c r="P10" s="4"/>
      <c r="Q10" s="4">
        <v>120</v>
      </c>
      <c r="R10" s="4">
        <v>1120</v>
      </c>
      <c r="S10" s="4">
        <v>335.41666666666669</v>
      </c>
    </row>
    <row r="11" spans="1:19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  <c r="I11" s="8" t="s">
        <v>10</v>
      </c>
      <c r="J11" s="4"/>
      <c r="K11" s="4"/>
      <c r="L11" s="4"/>
      <c r="M11" s="4"/>
      <c r="N11" s="4"/>
      <c r="O11" s="4"/>
      <c r="P11" s="4"/>
      <c r="Q11" s="4">
        <v>120</v>
      </c>
      <c r="R11" s="4"/>
      <c r="S11" s="4">
        <v>120</v>
      </c>
    </row>
    <row r="12" spans="1:19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  <c r="I12" s="8" t="s">
        <v>11</v>
      </c>
      <c r="J12" s="4">
        <v>480</v>
      </c>
      <c r="K12" s="4"/>
      <c r="L12" s="4">
        <v>22.5</v>
      </c>
      <c r="M12" s="4">
        <v>150</v>
      </c>
      <c r="N12" s="4"/>
      <c r="O12" s="4"/>
      <c r="P12" s="4"/>
      <c r="Q12" s="4"/>
      <c r="R12" s="4"/>
      <c r="S12" s="4">
        <v>217.5</v>
      </c>
    </row>
    <row r="13" spans="1:19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  <c r="I13" s="8" t="s">
        <v>9</v>
      </c>
      <c r="J13" s="4"/>
      <c r="K13" s="4"/>
      <c r="L13" s="4"/>
      <c r="M13" s="4"/>
      <c r="N13" s="4"/>
      <c r="O13" s="4"/>
      <c r="P13" s="4"/>
      <c r="Q13" s="4"/>
      <c r="R13" s="4">
        <v>1120</v>
      </c>
      <c r="S13" s="4">
        <v>1120</v>
      </c>
    </row>
    <row r="14" spans="1:19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  <c r="I14" s="7" t="s">
        <v>15</v>
      </c>
      <c r="J14" s="4">
        <v>234</v>
      </c>
      <c r="K14" s="4">
        <v>200</v>
      </c>
      <c r="L14" s="4">
        <v>71.050000000000011</v>
      </c>
      <c r="M14" s="4">
        <v>121.55000000000001</v>
      </c>
      <c r="N14" s="4">
        <v>556</v>
      </c>
      <c r="O14" s="4">
        <v>772.5</v>
      </c>
      <c r="P14" s="4">
        <v>787.5</v>
      </c>
      <c r="Q14" s="4">
        <v>380</v>
      </c>
      <c r="R14" s="4">
        <v>1398.3333333333333</v>
      </c>
      <c r="S14" s="4">
        <v>543.34285714285716</v>
      </c>
    </row>
    <row r="15" spans="1:19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19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dataValidations count="2">
    <dataValidation type="list" allowBlank="1" showInputMessage="1" showErrorMessage="1" sqref="B2:B22" xr:uid="{1ED1E328-F729-4303-A3BB-B9A8FEED5E61}">
      <formula1>$Q$1:$Q$3</formula1>
    </dataValidation>
    <dataValidation type="list" allowBlank="1" showInputMessage="1" showErrorMessage="1" sqref="C2:C22" xr:uid="{159194EB-DBEB-41D8-B191-CB2A38876086}">
      <formula1>$R$1:$R$3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A0CA-69C2-4EC6-838F-BA9B204BD0A8}">
  <dimension ref="A1:S22"/>
  <sheetViews>
    <sheetView topLeftCell="D1" workbookViewId="0">
      <selection activeCell="J24" sqref="J24"/>
    </sheetView>
  </sheetViews>
  <sheetFormatPr defaultRowHeight="14.4" x14ac:dyDescent="0.3"/>
  <cols>
    <col min="1" max="1" width="11.21875" customWidth="1"/>
    <col min="2" max="2" width="13.44140625" customWidth="1"/>
    <col min="9" max="9" width="25.5546875" bestFit="1" customWidth="1"/>
    <col min="10" max="10" width="20.33203125" bestFit="1" customWidth="1"/>
    <col min="11" max="17" width="10.109375" bestFit="1" customWidth="1"/>
    <col min="18" max="19" width="12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6" t="s">
        <v>22</v>
      </c>
      <c r="J1" s="6" t="s">
        <v>21</v>
      </c>
    </row>
    <row r="2" spans="1:19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  <c r="I2" s="6" t="s">
        <v>20</v>
      </c>
      <c r="J2" s="1">
        <v>40190</v>
      </c>
      <c r="K2" s="1">
        <v>40191</v>
      </c>
      <c r="L2" s="1">
        <v>40192</v>
      </c>
      <c r="M2" s="1">
        <v>40193</v>
      </c>
      <c r="N2" s="1">
        <v>40194</v>
      </c>
      <c r="O2" s="1">
        <v>40196</v>
      </c>
      <c r="P2" s="1">
        <v>40197</v>
      </c>
      <c r="Q2" s="1">
        <v>40198</v>
      </c>
      <c r="R2" s="1">
        <v>40199</v>
      </c>
      <c r="S2" s="1" t="s">
        <v>15</v>
      </c>
    </row>
    <row r="3" spans="1:19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  <c r="I3" s="7" t="s">
        <v>6</v>
      </c>
      <c r="J3" s="4">
        <v>150</v>
      </c>
      <c r="K3" s="4"/>
      <c r="L3" s="4">
        <v>119.60000000000001</v>
      </c>
      <c r="M3" s="4"/>
      <c r="N3" s="4">
        <v>556</v>
      </c>
      <c r="O3" s="4">
        <v>772.5</v>
      </c>
      <c r="P3" s="4">
        <v>787.5</v>
      </c>
      <c r="Q3" s="4"/>
      <c r="R3" s="4">
        <v>1800</v>
      </c>
      <c r="S3" s="4">
        <v>685.76</v>
      </c>
    </row>
    <row r="4" spans="1:19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  <c r="I4" s="8" t="s">
        <v>10</v>
      </c>
      <c r="J4" s="4"/>
      <c r="K4" s="4"/>
      <c r="L4" s="4">
        <v>119.60000000000001</v>
      </c>
      <c r="M4" s="4"/>
      <c r="N4" s="4">
        <v>248</v>
      </c>
      <c r="O4" s="4">
        <v>120</v>
      </c>
      <c r="P4" s="4"/>
      <c r="Q4" s="4"/>
      <c r="R4" s="4"/>
      <c r="S4" s="4">
        <v>162.53333333333333</v>
      </c>
    </row>
    <row r="5" spans="1:19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  <c r="I5" s="8" t="s">
        <v>11</v>
      </c>
      <c r="J5" s="4"/>
      <c r="K5" s="4"/>
      <c r="L5" s="4"/>
      <c r="M5" s="4"/>
      <c r="N5" s="4">
        <v>710</v>
      </c>
      <c r="O5" s="4"/>
      <c r="P5" s="4">
        <v>787.5</v>
      </c>
      <c r="Q5" s="4"/>
      <c r="R5" s="4"/>
      <c r="S5" s="4">
        <v>748.75</v>
      </c>
    </row>
    <row r="6" spans="1:19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  <c r="I6" s="8" t="s">
        <v>9</v>
      </c>
      <c r="J6" s="4">
        <v>150</v>
      </c>
      <c r="K6" s="4"/>
      <c r="L6" s="4"/>
      <c r="M6" s="4"/>
      <c r="N6" s="4"/>
      <c r="O6" s="4">
        <v>1425</v>
      </c>
      <c r="P6" s="4"/>
      <c r="Q6" s="4"/>
      <c r="R6" s="4">
        <v>1800</v>
      </c>
      <c r="S6" s="4">
        <v>1125</v>
      </c>
    </row>
    <row r="7" spans="1:19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  <c r="I7" s="7" t="s">
        <v>7</v>
      </c>
      <c r="J7" s="4">
        <v>72</v>
      </c>
      <c r="K7" s="4">
        <v>200</v>
      </c>
      <c r="L7" s="4"/>
      <c r="M7" s="4">
        <v>93.100000000000009</v>
      </c>
      <c r="N7" s="4"/>
      <c r="O7" s="4"/>
      <c r="P7" s="4"/>
      <c r="Q7" s="4">
        <v>900</v>
      </c>
      <c r="R7" s="4">
        <v>1275</v>
      </c>
      <c r="S7" s="4">
        <v>508.02</v>
      </c>
    </row>
    <row r="8" spans="1:19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  <c r="I8" s="8" t="s">
        <v>10</v>
      </c>
      <c r="J8" s="4">
        <v>72</v>
      </c>
      <c r="K8" s="4"/>
      <c r="L8" s="4"/>
      <c r="M8" s="4">
        <v>93.100000000000009</v>
      </c>
      <c r="N8" s="4"/>
      <c r="O8" s="4"/>
      <c r="P8" s="4"/>
      <c r="Q8" s="4">
        <v>900</v>
      </c>
      <c r="R8" s="4"/>
      <c r="S8" s="4">
        <v>355.0333333333333</v>
      </c>
    </row>
    <row r="9" spans="1:19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  <c r="I9" s="8" t="s">
        <v>9</v>
      </c>
      <c r="J9" s="4"/>
      <c r="K9" s="4">
        <v>200</v>
      </c>
      <c r="L9" s="4"/>
      <c r="M9" s="4"/>
      <c r="N9" s="4"/>
      <c r="O9" s="4"/>
      <c r="P9" s="4"/>
      <c r="Q9" s="4"/>
      <c r="R9" s="4">
        <v>1275</v>
      </c>
      <c r="S9" s="4">
        <v>737.5</v>
      </c>
    </row>
    <row r="10" spans="1:19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  <c r="I10" s="7" t="s">
        <v>8</v>
      </c>
      <c r="J10" s="4">
        <v>480</v>
      </c>
      <c r="K10" s="4"/>
      <c r="L10" s="4">
        <v>22.5</v>
      </c>
      <c r="M10" s="4">
        <v>150</v>
      </c>
      <c r="N10" s="4"/>
      <c r="O10" s="4"/>
      <c r="P10" s="4"/>
      <c r="Q10" s="4">
        <v>120</v>
      </c>
      <c r="R10" s="4">
        <v>1120</v>
      </c>
      <c r="S10" s="4">
        <v>335.41666666666669</v>
      </c>
    </row>
    <row r="11" spans="1:19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  <c r="I11" s="8" t="s">
        <v>10</v>
      </c>
      <c r="J11" s="4"/>
      <c r="K11" s="4"/>
      <c r="L11" s="4"/>
      <c r="M11" s="4"/>
      <c r="N11" s="4"/>
      <c r="O11" s="4"/>
      <c r="P11" s="4"/>
      <c r="Q11" s="4">
        <v>120</v>
      </c>
      <c r="R11" s="4"/>
      <c r="S11" s="4">
        <v>120</v>
      </c>
    </row>
    <row r="12" spans="1:19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  <c r="I12" s="8" t="s">
        <v>11</v>
      </c>
      <c r="J12" s="4">
        <v>480</v>
      </c>
      <c r="K12" s="4"/>
      <c r="L12" s="4">
        <v>22.5</v>
      </c>
      <c r="M12" s="4">
        <v>150</v>
      </c>
      <c r="N12" s="4"/>
      <c r="O12" s="4"/>
      <c r="P12" s="4"/>
      <c r="Q12" s="4"/>
      <c r="R12" s="4"/>
      <c r="S12" s="4">
        <v>217.5</v>
      </c>
    </row>
    <row r="13" spans="1:19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  <c r="I13" s="8" t="s">
        <v>9</v>
      </c>
      <c r="J13" s="4"/>
      <c r="K13" s="4"/>
      <c r="L13" s="4"/>
      <c r="M13" s="4"/>
      <c r="N13" s="4"/>
      <c r="O13" s="4"/>
      <c r="P13" s="4"/>
      <c r="Q13" s="4"/>
      <c r="R13" s="4">
        <v>1120</v>
      </c>
      <c r="S13" s="4">
        <v>1120</v>
      </c>
    </row>
    <row r="14" spans="1:19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  <c r="I14" s="7" t="s">
        <v>15</v>
      </c>
      <c r="J14" s="4">
        <v>234</v>
      </c>
      <c r="K14" s="4">
        <v>200</v>
      </c>
      <c r="L14" s="4">
        <v>71.050000000000011</v>
      </c>
      <c r="M14" s="4">
        <v>121.55000000000001</v>
      </c>
      <c r="N14" s="4">
        <v>556</v>
      </c>
      <c r="O14" s="4">
        <v>772.5</v>
      </c>
      <c r="P14" s="4">
        <v>787.5</v>
      </c>
      <c r="Q14" s="4">
        <v>380</v>
      </c>
      <c r="R14" s="4">
        <v>1398.3333333333333</v>
      </c>
      <c r="S14" s="4">
        <v>543.34285714285716</v>
      </c>
    </row>
    <row r="15" spans="1:19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19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dataValidations count="2">
    <dataValidation type="list" allowBlank="1" showInputMessage="1" showErrorMessage="1" sqref="C2:C22" xr:uid="{215C116E-F2FD-42AC-AF10-0190283EA22D}">
      <formula1>$R$1:$R$3</formula1>
    </dataValidation>
    <dataValidation type="list" allowBlank="1" showInputMessage="1" showErrorMessage="1" sqref="B2:B22" xr:uid="{CCF92478-E890-431D-8680-EA429B2F0428}">
      <formula1>$Q$1:$Q$3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DD9A-C37B-49F2-9CA7-8773A9A99E00}">
  <dimension ref="A1:K22"/>
  <sheetViews>
    <sheetView workbookViewId="0">
      <selection activeCell="J2" sqref="J2"/>
    </sheetView>
  </sheetViews>
  <sheetFormatPr defaultRowHeight="14.4" x14ac:dyDescent="0.3"/>
  <cols>
    <col min="1" max="1" width="13.77734375" customWidth="1"/>
    <col min="2" max="2" width="16.6640625" customWidth="1"/>
    <col min="9" max="9" width="24" bestFit="1" customWidth="1"/>
    <col min="10" max="10" width="20.33203125" bestFit="1" customWidth="1"/>
    <col min="11" max="11" width="11.33203125" bestFit="1" customWidth="1"/>
    <col min="12" max="18" width="10.109375" bestFit="1" customWidth="1"/>
    <col min="19" max="19" width="11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6" t="s">
        <v>19</v>
      </c>
      <c r="J1" s="6" t="s">
        <v>21</v>
      </c>
    </row>
    <row r="2" spans="1:11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  <c r="I2" s="6" t="s">
        <v>20</v>
      </c>
      <c r="J2" s="1" t="s">
        <v>23</v>
      </c>
      <c r="K2" s="1" t="s">
        <v>15</v>
      </c>
    </row>
    <row r="3" spans="1:11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  <c r="I3" s="7" t="s">
        <v>6</v>
      </c>
      <c r="J3" s="4">
        <v>6857.6</v>
      </c>
      <c r="K3" s="4">
        <v>6857.6</v>
      </c>
    </row>
    <row r="4" spans="1:11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  <c r="I4" s="8" t="s">
        <v>10</v>
      </c>
      <c r="J4" s="4">
        <v>487.6</v>
      </c>
      <c r="K4" s="4">
        <v>487.6</v>
      </c>
    </row>
    <row r="5" spans="1:11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  <c r="I5" s="8" t="s">
        <v>11</v>
      </c>
      <c r="J5" s="4">
        <v>2995</v>
      </c>
      <c r="K5" s="4">
        <v>2995</v>
      </c>
    </row>
    <row r="6" spans="1:11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  <c r="I6" s="8" t="s">
        <v>9</v>
      </c>
      <c r="J6" s="4">
        <v>3375</v>
      </c>
      <c r="K6" s="4">
        <v>3375</v>
      </c>
    </row>
    <row r="7" spans="1:11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  <c r="I7" s="7" t="s">
        <v>7</v>
      </c>
      <c r="J7" s="4">
        <v>2540.1</v>
      </c>
      <c r="K7" s="4">
        <v>2540.1</v>
      </c>
    </row>
    <row r="8" spans="1:11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  <c r="I8" s="8" t="s">
        <v>10</v>
      </c>
      <c r="J8" s="4">
        <v>1065.0999999999999</v>
      </c>
      <c r="K8" s="4">
        <v>1065.0999999999999</v>
      </c>
    </row>
    <row r="9" spans="1:11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  <c r="I9" s="8" t="s">
        <v>9</v>
      </c>
      <c r="J9" s="4">
        <v>1475</v>
      </c>
      <c r="K9" s="4">
        <v>1475</v>
      </c>
    </row>
    <row r="10" spans="1:11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  <c r="I10" s="7" t="s">
        <v>8</v>
      </c>
      <c r="J10" s="4">
        <v>2012.5</v>
      </c>
      <c r="K10" s="4">
        <v>2012.5</v>
      </c>
    </row>
    <row r="11" spans="1:11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  <c r="I11" s="8" t="s">
        <v>10</v>
      </c>
      <c r="J11" s="4">
        <v>240</v>
      </c>
      <c r="K11" s="4">
        <v>240</v>
      </c>
    </row>
    <row r="12" spans="1:11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  <c r="I12" s="8" t="s">
        <v>11</v>
      </c>
      <c r="J12" s="4">
        <v>652.5</v>
      </c>
      <c r="K12" s="4">
        <v>652.5</v>
      </c>
    </row>
    <row r="13" spans="1:11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  <c r="I13" s="8" t="s">
        <v>9</v>
      </c>
      <c r="J13" s="4">
        <v>1120</v>
      </c>
      <c r="K13" s="4">
        <v>1120</v>
      </c>
    </row>
    <row r="14" spans="1:11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  <c r="I14" s="7" t="s">
        <v>15</v>
      </c>
      <c r="J14" s="4">
        <v>11410.2</v>
      </c>
      <c r="K14" s="4">
        <v>11410.2</v>
      </c>
    </row>
    <row r="15" spans="1:11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11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dataValidations count="2">
    <dataValidation type="list" allowBlank="1" showInputMessage="1" showErrorMessage="1" sqref="B2:B22" xr:uid="{314304FE-99FD-4A9B-86A2-7C9447517CFA}">
      <formula1>$Q$1:$Q$3</formula1>
    </dataValidation>
    <dataValidation type="list" allowBlank="1" showInputMessage="1" showErrorMessage="1" sqref="C2:C22" xr:uid="{A6D5B457-4220-408D-816E-2F44B480D80E}">
      <formula1>$R$1:$R$3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1CAD-82A2-4AFB-B50D-BA2D3963ADC9}">
  <dimension ref="A1:M22"/>
  <sheetViews>
    <sheetView tabSelected="1" workbookViewId="0">
      <selection activeCell="I27" sqref="I27"/>
    </sheetView>
  </sheetViews>
  <sheetFormatPr defaultRowHeight="14.4" x14ac:dyDescent="0.3"/>
  <cols>
    <col min="1" max="1" width="12.5546875" customWidth="1"/>
    <col min="2" max="2" width="13.6640625" customWidth="1"/>
    <col min="9" max="9" width="24" bestFit="1" customWidth="1"/>
    <col min="10" max="10" width="20.33203125" bestFit="1" customWidth="1"/>
    <col min="11" max="11" width="7" bestFit="1" customWidth="1"/>
    <col min="12" max="12" width="6.109375" bestFit="1" customWidth="1"/>
    <col min="13" max="13" width="11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6" t="s">
        <v>0</v>
      </c>
      <c r="J1" t="s">
        <v>24</v>
      </c>
    </row>
    <row r="2" spans="1:13" x14ac:dyDescent="0.3">
      <c r="A2" s="1">
        <v>40190</v>
      </c>
      <c r="B2" t="s">
        <v>6</v>
      </c>
      <c r="C2" t="s">
        <v>9</v>
      </c>
      <c r="D2">
        <v>10</v>
      </c>
      <c r="E2" s="2">
        <v>15</v>
      </c>
      <c r="F2" s="3">
        <f>E2*D2</f>
        <v>150</v>
      </c>
    </row>
    <row r="3" spans="1:13" x14ac:dyDescent="0.3">
      <c r="A3" s="1">
        <v>40190</v>
      </c>
      <c r="B3" t="s">
        <v>7</v>
      </c>
      <c r="C3" t="s">
        <v>10</v>
      </c>
      <c r="D3">
        <v>15</v>
      </c>
      <c r="E3" s="2">
        <v>4.8</v>
      </c>
      <c r="F3" s="3">
        <f t="shared" ref="F3:F22" si="0">E3*D3</f>
        <v>72</v>
      </c>
      <c r="I3" s="6" t="s">
        <v>19</v>
      </c>
      <c r="J3" s="6" t="s">
        <v>21</v>
      </c>
    </row>
    <row r="4" spans="1:13" x14ac:dyDescent="0.3">
      <c r="A4" s="1">
        <v>40190</v>
      </c>
      <c r="B4" t="s">
        <v>8</v>
      </c>
      <c r="C4" t="s">
        <v>11</v>
      </c>
      <c r="D4">
        <v>20</v>
      </c>
      <c r="E4" s="2">
        <v>24</v>
      </c>
      <c r="F4" s="3">
        <f t="shared" si="0"/>
        <v>480</v>
      </c>
      <c r="I4" s="6" t="s">
        <v>20</v>
      </c>
      <c r="J4" t="s">
        <v>10</v>
      </c>
      <c r="K4" t="s">
        <v>11</v>
      </c>
      <c r="L4" t="s">
        <v>9</v>
      </c>
      <c r="M4" t="s">
        <v>15</v>
      </c>
    </row>
    <row r="5" spans="1:13" x14ac:dyDescent="0.3">
      <c r="A5" s="1">
        <v>40191</v>
      </c>
      <c r="B5" t="s">
        <v>7</v>
      </c>
      <c r="C5" t="s">
        <v>9</v>
      </c>
      <c r="D5">
        <v>10</v>
      </c>
      <c r="E5" s="2">
        <v>20</v>
      </c>
      <c r="F5" s="3">
        <f t="shared" si="0"/>
        <v>200</v>
      </c>
      <c r="I5" s="7" t="s">
        <v>6</v>
      </c>
      <c r="J5" s="4">
        <v>487.6</v>
      </c>
      <c r="K5" s="4">
        <v>2995</v>
      </c>
      <c r="L5" s="4">
        <v>3375</v>
      </c>
      <c r="M5" s="4">
        <v>6857.6</v>
      </c>
    </row>
    <row r="6" spans="1:13" x14ac:dyDescent="0.3">
      <c r="A6" s="1">
        <v>40192</v>
      </c>
      <c r="B6" t="s">
        <v>6</v>
      </c>
      <c r="C6" t="s">
        <v>10</v>
      </c>
      <c r="D6">
        <v>23</v>
      </c>
      <c r="E6" s="2">
        <v>5.2</v>
      </c>
      <c r="F6" s="3">
        <f t="shared" si="0"/>
        <v>119.60000000000001</v>
      </c>
      <c r="I6" s="7" t="s">
        <v>7</v>
      </c>
      <c r="J6" s="4">
        <v>1065.0999999999999</v>
      </c>
      <c r="K6" s="4"/>
      <c r="L6" s="4">
        <v>1475</v>
      </c>
      <c r="M6" s="4">
        <v>2540.1</v>
      </c>
    </row>
    <row r="7" spans="1:13" x14ac:dyDescent="0.3">
      <c r="A7" s="1">
        <v>40192</v>
      </c>
      <c r="B7" t="s">
        <v>8</v>
      </c>
      <c r="C7" t="s">
        <v>11</v>
      </c>
      <c r="D7">
        <v>1</v>
      </c>
      <c r="E7" s="2">
        <v>22.5</v>
      </c>
      <c r="F7" s="3">
        <f t="shared" si="0"/>
        <v>22.5</v>
      </c>
      <c r="I7" s="7" t="s">
        <v>8</v>
      </c>
      <c r="J7" s="4">
        <v>240</v>
      </c>
      <c r="K7" s="4">
        <v>652.5</v>
      </c>
      <c r="L7" s="4">
        <v>1120</v>
      </c>
      <c r="M7" s="4">
        <v>2012.5</v>
      </c>
    </row>
    <row r="8" spans="1:13" x14ac:dyDescent="0.3">
      <c r="A8" s="1">
        <v>40193</v>
      </c>
      <c r="B8" t="s">
        <v>7</v>
      </c>
      <c r="C8" t="s">
        <v>10</v>
      </c>
      <c r="D8">
        <v>19</v>
      </c>
      <c r="E8" s="2">
        <v>4.9000000000000004</v>
      </c>
      <c r="F8" s="3">
        <f t="shared" si="0"/>
        <v>93.100000000000009</v>
      </c>
      <c r="I8" s="7" t="s">
        <v>15</v>
      </c>
      <c r="J8" s="4">
        <v>1792.6999999999998</v>
      </c>
      <c r="K8" s="4">
        <v>3647.5</v>
      </c>
      <c r="L8" s="4">
        <v>5970</v>
      </c>
      <c r="M8" s="4">
        <v>11410.2</v>
      </c>
    </row>
    <row r="9" spans="1:13" x14ac:dyDescent="0.3">
      <c r="A9" s="1">
        <v>40193</v>
      </c>
      <c r="B9" t="s">
        <v>8</v>
      </c>
      <c r="C9" t="s">
        <v>11</v>
      </c>
      <c r="D9">
        <v>3</v>
      </c>
      <c r="E9" s="2">
        <v>50</v>
      </c>
      <c r="F9" s="3">
        <f t="shared" si="0"/>
        <v>150</v>
      </c>
    </row>
    <row r="10" spans="1:13" x14ac:dyDescent="0.3">
      <c r="A10" s="1">
        <v>40194</v>
      </c>
      <c r="B10" t="s">
        <v>6</v>
      </c>
      <c r="C10" t="s">
        <v>10</v>
      </c>
      <c r="D10">
        <v>40</v>
      </c>
      <c r="E10" s="2">
        <v>6.2</v>
      </c>
      <c r="F10" s="3">
        <f t="shared" si="0"/>
        <v>248</v>
      </c>
    </row>
    <row r="11" spans="1:13" x14ac:dyDescent="0.3">
      <c r="A11" s="1">
        <v>40194</v>
      </c>
      <c r="B11" t="s">
        <v>6</v>
      </c>
      <c r="C11" t="s">
        <v>11</v>
      </c>
      <c r="D11">
        <v>20</v>
      </c>
      <c r="E11" s="2">
        <v>18.5</v>
      </c>
      <c r="F11" s="3">
        <f t="shared" si="0"/>
        <v>370</v>
      </c>
    </row>
    <row r="12" spans="1:13" x14ac:dyDescent="0.3">
      <c r="A12" s="1">
        <v>40194</v>
      </c>
      <c r="B12" t="s">
        <v>6</v>
      </c>
      <c r="C12" t="s">
        <v>11</v>
      </c>
      <c r="D12">
        <v>50</v>
      </c>
      <c r="E12" s="2">
        <v>21</v>
      </c>
      <c r="F12" s="3">
        <f t="shared" si="0"/>
        <v>1050</v>
      </c>
    </row>
    <row r="13" spans="1:13" x14ac:dyDescent="0.3">
      <c r="A13" s="1">
        <v>40196</v>
      </c>
      <c r="B13" t="s">
        <v>6</v>
      </c>
      <c r="C13" t="s">
        <v>10</v>
      </c>
      <c r="D13">
        <v>10</v>
      </c>
      <c r="E13" s="2">
        <v>12</v>
      </c>
      <c r="F13" s="3">
        <f t="shared" si="0"/>
        <v>120</v>
      </c>
    </row>
    <row r="14" spans="1:13" x14ac:dyDescent="0.3">
      <c r="A14" s="1">
        <v>40196</v>
      </c>
      <c r="B14" t="s">
        <v>6</v>
      </c>
      <c r="C14" t="s">
        <v>9</v>
      </c>
      <c r="D14">
        <v>50</v>
      </c>
      <c r="E14" s="2">
        <v>28.5</v>
      </c>
      <c r="F14" s="3">
        <f t="shared" si="0"/>
        <v>1425</v>
      </c>
    </row>
    <row r="15" spans="1:13" x14ac:dyDescent="0.3">
      <c r="A15" s="1">
        <v>40197</v>
      </c>
      <c r="B15" t="s">
        <v>6</v>
      </c>
      <c r="C15" t="s">
        <v>11</v>
      </c>
      <c r="D15">
        <v>20</v>
      </c>
      <c r="E15" s="2">
        <v>25</v>
      </c>
      <c r="F15" s="3">
        <f t="shared" si="0"/>
        <v>500</v>
      </c>
    </row>
    <row r="16" spans="1:13" x14ac:dyDescent="0.3">
      <c r="A16" s="1">
        <v>40197</v>
      </c>
      <c r="B16" t="s">
        <v>6</v>
      </c>
      <c r="C16" t="s">
        <v>11</v>
      </c>
      <c r="D16">
        <v>50</v>
      </c>
      <c r="E16" s="2">
        <v>21.5</v>
      </c>
      <c r="F16" s="3">
        <f t="shared" si="0"/>
        <v>1075</v>
      </c>
    </row>
    <row r="17" spans="1:6" x14ac:dyDescent="0.3">
      <c r="A17" s="1">
        <v>40198</v>
      </c>
      <c r="B17" t="s">
        <v>7</v>
      </c>
      <c r="C17" t="s">
        <v>10</v>
      </c>
      <c r="D17">
        <v>200</v>
      </c>
      <c r="E17" s="2">
        <v>4.5</v>
      </c>
      <c r="F17" s="3">
        <f t="shared" si="0"/>
        <v>900</v>
      </c>
    </row>
    <row r="18" spans="1:6" x14ac:dyDescent="0.3">
      <c r="A18" s="1">
        <v>40198</v>
      </c>
      <c r="B18" t="s">
        <v>8</v>
      </c>
      <c r="C18" t="s">
        <v>10</v>
      </c>
      <c r="D18">
        <v>30</v>
      </c>
      <c r="E18" s="2">
        <v>5</v>
      </c>
      <c r="F18" s="3">
        <f t="shared" si="0"/>
        <v>150</v>
      </c>
    </row>
    <row r="19" spans="1:6" x14ac:dyDescent="0.3">
      <c r="A19" s="1">
        <v>40198</v>
      </c>
      <c r="B19" t="s">
        <v>8</v>
      </c>
      <c r="C19" t="s">
        <v>10</v>
      </c>
      <c r="D19">
        <v>20</v>
      </c>
      <c r="E19" s="2">
        <v>4.5</v>
      </c>
      <c r="F19" s="3">
        <f t="shared" si="0"/>
        <v>90</v>
      </c>
    </row>
    <row r="20" spans="1:6" x14ac:dyDescent="0.3">
      <c r="A20" s="1">
        <v>40199</v>
      </c>
      <c r="B20" t="s">
        <v>6</v>
      </c>
      <c r="C20" t="s">
        <v>9</v>
      </c>
      <c r="D20">
        <v>60</v>
      </c>
      <c r="E20" s="2">
        <v>30</v>
      </c>
      <c r="F20" s="3">
        <f t="shared" si="0"/>
        <v>1800</v>
      </c>
    </row>
    <row r="21" spans="1:6" x14ac:dyDescent="0.3">
      <c r="A21" s="1">
        <v>40199</v>
      </c>
      <c r="B21" t="s">
        <v>7</v>
      </c>
      <c r="C21" t="s">
        <v>9</v>
      </c>
      <c r="D21">
        <v>50</v>
      </c>
      <c r="E21" s="2">
        <v>25.5</v>
      </c>
      <c r="F21" s="3">
        <f t="shared" si="0"/>
        <v>1275</v>
      </c>
    </row>
    <row r="22" spans="1:6" x14ac:dyDescent="0.3">
      <c r="A22" s="1">
        <v>40199</v>
      </c>
      <c r="B22" t="s">
        <v>8</v>
      </c>
      <c r="C22" t="s">
        <v>9</v>
      </c>
      <c r="D22">
        <v>40</v>
      </c>
      <c r="E22" s="2">
        <v>28</v>
      </c>
      <c r="F22" s="3">
        <f t="shared" si="0"/>
        <v>1120</v>
      </c>
    </row>
  </sheetData>
  <dataValidations count="2">
    <dataValidation type="list" allowBlank="1" showInputMessage="1" showErrorMessage="1" sqref="B2:B22" xr:uid="{FEE12C46-3531-44B2-A568-7A51E9FD318A}">
      <formula1>$Q$1:$Q$3</formula1>
    </dataValidation>
    <dataValidation type="list" allowBlank="1" showInputMessage="1" showErrorMessage="1" sqref="C2:C22" xr:uid="{629B811B-7647-4F4D-BEF6-00515D9D2D25}">
      <formula1>$R$1:$R$3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Petrushin</dc:creator>
  <cp:lastModifiedBy>Artem Petrushin</cp:lastModifiedBy>
  <dcterms:created xsi:type="dcterms:W3CDTF">2023-12-06T12:17:28Z</dcterms:created>
  <dcterms:modified xsi:type="dcterms:W3CDTF">2023-12-06T13:42:02Z</dcterms:modified>
</cp:coreProperties>
</file>